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еренький козлик" sheetId="1" r:id="rId4"/>
    <sheet state="visible" name="уникальные леммы (1.1)" sheetId="2" r:id="rId5"/>
    <sheet state="visible" name="димунативы" sheetId="3" r:id="rId6"/>
    <sheet state="visible" name="обычные" sheetId="4" r:id="rId7"/>
    <sheet state="visible" name="суффиксы" sheetId="5" r:id="rId8"/>
    <sheet state="visible" name="уникальные с ик" sheetId="6" r:id="rId9"/>
    <sheet state="visible" name="Pivot Table 3" sheetId="7" r:id="rId10"/>
    <sheet state="visible" name="Sheet3" sheetId="8" r:id="rId11"/>
    <sheet state="visible" name="Pivot Table 1" sheetId="9" r:id="rId12"/>
    <sheet state="visible" name="Серый козел" sheetId="10" r:id="rId13"/>
  </sheets>
  <definedNames/>
  <calcPr/>
  <pivotCaches>
    <pivotCache cacheId="0" r:id="rId14"/>
    <pivotCache cacheId="1" r:id="rId15"/>
    <pivotCache cacheId="2" r:id="rId16"/>
    <pivotCache cacheId="3" r:id="rId17"/>
    <pivotCache cacheId="4" r:id="rId18"/>
  </pivotCaches>
</workbook>
</file>

<file path=xl/sharedStrings.xml><?xml version="1.0" encoding="utf-8"?>
<sst xmlns="http://schemas.openxmlformats.org/spreadsheetml/2006/main" count="1192" uniqueCount="382">
  <si>
    <t>DOCUMENTS</t>
  </si>
  <si>
    <t>OCCURRENCES</t>
  </si>
  <si>
    <t>NGRAM</t>
  </si>
  <si>
    <t>NGRAM_LEMMA</t>
  </si>
  <si>
    <t>LEMMA1</t>
  </si>
  <si>
    <t>LEMMA2</t>
  </si>
  <si>
    <t>SUFFIX</t>
  </si>
  <si>
    <t>аленький цветочек</t>
  </si>
  <si>
    <t>аленький</t>
  </si>
  <si>
    <t>цветочек</t>
  </si>
  <si>
    <t>седенький старичок</t>
  </si>
  <si>
    <t>седенький</t>
  </si>
  <si>
    <t>старичок</t>
  </si>
  <si>
    <t>серенький козлик</t>
  </si>
  <si>
    <t>серенький</t>
  </si>
  <si>
    <t>козлик</t>
  </si>
  <si>
    <t>черненькие глазки</t>
  </si>
  <si>
    <t>черненький глазок</t>
  </si>
  <si>
    <t>черненький</t>
  </si>
  <si>
    <t>глазок</t>
  </si>
  <si>
    <t>серенький домик</t>
  </si>
  <si>
    <t>домик</t>
  </si>
  <si>
    <t>седенькой бородкой</t>
  </si>
  <si>
    <t>седенький бородка</t>
  </si>
  <si>
    <t>бородка</t>
  </si>
  <si>
    <t>беленький цветочек</t>
  </si>
  <si>
    <t>беленький</t>
  </si>
  <si>
    <t>голубенькие глазки</t>
  </si>
  <si>
    <t>голубенький глазок</t>
  </si>
  <si>
    <t>голубенький</t>
  </si>
  <si>
    <t>беленький домик</t>
  </si>
  <si>
    <t>аленького цветочка</t>
  </si>
  <si>
    <t>седенького старичка</t>
  </si>
  <si>
    <t>седенькая старушка</t>
  </si>
  <si>
    <t>седенький старушка</t>
  </si>
  <si>
    <t>старушка</t>
  </si>
  <si>
    <t>черненькими усиками</t>
  </si>
  <si>
    <t>черненький усик</t>
  </si>
  <si>
    <t>усик</t>
  </si>
  <si>
    <t>серенькие глазки</t>
  </si>
  <si>
    <t>серенький глазок</t>
  </si>
  <si>
    <t>беленькие домики</t>
  </si>
  <si>
    <t>беленькая ручка</t>
  </si>
  <si>
    <t>беленький ручка</t>
  </si>
  <si>
    <t>ручка</t>
  </si>
  <si>
    <t>беленький платочек</t>
  </si>
  <si>
    <t>платочек</t>
  </si>
  <si>
    <t>зелененькую бумажку</t>
  </si>
  <si>
    <t>зелененький бумажка</t>
  </si>
  <si>
    <t>зелененький</t>
  </si>
  <si>
    <t>бумажка</t>
  </si>
  <si>
    <t>красненькую бумажку</t>
  </si>
  <si>
    <t>красненький бумажка</t>
  </si>
  <si>
    <t>красненький</t>
  </si>
  <si>
    <t>синенькую бумажку</t>
  </si>
  <si>
    <t>синенький бумажка</t>
  </si>
  <si>
    <t>синенький</t>
  </si>
  <si>
    <t>темненькая фигурка</t>
  </si>
  <si>
    <t>темненький фигурка</t>
  </si>
  <si>
    <t>темненький</t>
  </si>
  <si>
    <t>фигурка</t>
  </si>
  <si>
    <t>беленький крестик</t>
  </si>
  <si>
    <t>крестик</t>
  </si>
  <si>
    <t>рыженький человечек</t>
  </si>
  <si>
    <t>рыженький</t>
  </si>
  <si>
    <t>человечек</t>
  </si>
  <si>
    <t>серенькая птичка</t>
  </si>
  <si>
    <t>серенький птичка</t>
  </si>
  <si>
    <t>птичка</t>
  </si>
  <si>
    <t>черненький человечек</t>
  </si>
  <si>
    <t>беленький старичок</t>
  </si>
  <si>
    <t>беленьком платьице</t>
  </si>
  <si>
    <t>беленький платьице</t>
  </si>
  <si>
    <t>платьице</t>
  </si>
  <si>
    <t>голубенькими глазками</t>
  </si>
  <si>
    <t>сереньком домике</t>
  </si>
  <si>
    <t>сереньком пиджачке</t>
  </si>
  <si>
    <t>серенький пиджачок</t>
  </si>
  <si>
    <t>пиджачок</t>
  </si>
  <si>
    <t>беленькие цветочки</t>
  </si>
  <si>
    <t>беленькое личико</t>
  </si>
  <si>
    <t>беленький личико</t>
  </si>
  <si>
    <t>личико</t>
  </si>
  <si>
    <t>беленькое платьице</t>
  </si>
  <si>
    <t>рыженькой бородкой</t>
  </si>
  <si>
    <t>рыженький бородка</t>
  </si>
  <si>
    <t>седенькую бородку</t>
  </si>
  <si>
    <t>сереньком платьице</t>
  </si>
  <si>
    <t>серенький платьице</t>
  </si>
  <si>
    <t>беленькая собачка</t>
  </si>
  <si>
    <t>беленький собачка</t>
  </si>
  <si>
    <t>собачка</t>
  </si>
  <si>
    <t>беленьким платочком</t>
  </si>
  <si>
    <t>беленьком платочке</t>
  </si>
  <si>
    <t>беленькую ручку</t>
  </si>
  <si>
    <t>желтенькие цветочки</t>
  </si>
  <si>
    <t>желтенький цветочек</t>
  </si>
  <si>
    <t>желтенький</t>
  </si>
  <si>
    <t>красненький домик</t>
  </si>
  <si>
    <t>седенькая бородка</t>
  </si>
  <si>
    <t>серенькая мышка</t>
  </si>
  <si>
    <t>серенький мышка</t>
  </si>
  <si>
    <t>мышка</t>
  </si>
  <si>
    <t>серенького домика</t>
  </si>
  <si>
    <t>синенькими глазками</t>
  </si>
  <si>
    <t>синенький глазок</t>
  </si>
  <si>
    <t>черненькими глазками</t>
  </si>
  <si>
    <t>беленькие ручки</t>
  </si>
  <si>
    <t>беленькие хатки</t>
  </si>
  <si>
    <t>беленький хатка</t>
  </si>
  <si>
    <t>хатка</t>
  </si>
  <si>
    <t>беленький зайчик</t>
  </si>
  <si>
    <t>зайчик</t>
  </si>
  <si>
    <t>беленькими цветочками</t>
  </si>
  <si>
    <t>беленькой кофточке</t>
  </si>
  <si>
    <t>беленький кофточка</t>
  </si>
  <si>
    <t>кофточка</t>
  </si>
  <si>
    <t>голубенький платочек</t>
  </si>
  <si>
    <t>голубенькими цветочками</t>
  </si>
  <si>
    <t>голубенький цветочек</t>
  </si>
  <si>
    <t>желтенькие бумажки</t>
  </si>
  <si>
    <t>желтенький бумажка</t>
  </si>
  <si>
    <t>желтенький огонек</t>
  </si>
  <si>
    <t>огонек</t>
  </si>
  <si>
    <t>желтенький томик</t>
  </si>
  <si>
    <t>томик</t>
  </si>
  <si>
    <t>желтенькую бумажку</t>
  </si>
  <si>
    <t>красненьком домике</t>
  </si>
  <si>
    <t>седенький человечек</t>
  </si>
  <si>
    <t>серенькими глазками</t>
  </si>
  <si>
    <t>серенькому домику</t>
  </si>
  <si>
    <t>серенькую книжку</t>
  </si>
  <si>
    <t>серенький книжка</t>
  </si>
  <si>
    <t>книжка</t>
  </si>
  <si>
    <t>синенький огонек</t>
  </si>
  <si>
    <t>черненькой бородкой</t>
  </si>
  <si>
    <t>черненький бородка</t>
  </si>
  <si>
    <t>черненькую головку</t>
  </si>
  <si>
    <t>черненький головка</t>
  </si>
  <si>
    <t>головка</t>
  </si>
  <si>
    <t>аленьким цветочком</t>
  </si>
  <si>
    <t>аленьком цветочке</t>
  </si>
  <si>
    <t>беленькие бумажки</t>
  </si>
  <si>
    <t>беленький бумажка</t>
  </si>
  <si>
    <t>беленький городок</t>
  </si>
  <si>
    <t>городок</t>
  </si>
  <si>
    <t>беленькими домиками</t>
  </si>
  <si>
    <t>беленькими ручками</t>
  </si>
  <si>
    <t>беленьких цветочков</t>
  </si>
  <si>
    <t>голубеньком платьице</t>
  </si>
  <si>
    <t>голубенький платьице</t>
  </si>
  <si>
    <t>желтенький домик</t>
  </si>
  <si>
    <t>зелененькую травку</t>
  </si>
  <si>
    <t>зелененький травка</t>
  </si>
  <si>
    <t>травка</t>
  </si>
  <si>
    <t>красненький платочек</t>
  </si>
  <si>
    <t>красненьким носиком</t>
  </si>
  <si>
    <t>красненький носик</t>
  </si>
  <si>
    <t>носик</t>
  </si>
  <si>
    <t>красненькую книжечку</t>
  </si>
  <si>
    <t>красненький книжечка</t>
  </si>
  <si>
    <t>книжечка</t>
  </si>
  <si>
    <t>пестренькие птички</t>
  </si>
  <si>
    <t>пестренький птичка</t>
  </si>
  <si>
    <t>пестренький</t>
  </si>
  <si>
    <t>розовенькое платьице</t>
  </si>
  <si>
    <t>розовенький платьице</t>
  </si>
  <si>
    <t>розовенький</t>
  </si>
  <si>
    <t>рыженькая собачка</t>
  </si>
  <si>
    <t>рыженький собачка</t>
  </si>
  <si>
    <t>светленькие глазки</t>
  </si>
  <si>
    <t>светленький глазок</t>
  </si>
  <si>
    <t>светленький</t>
  </si>
  <si>
    <t>седенькие волосики</t>
  </si>
  <si>
    <t>седенький волосик</t>
  </si>
  <si>
    <t>волосик</t>
  </si>
  <si>
    <t>седенькому старичку</t>
  </si>
  <si>
    <t>серенькие домики</t>
  </si>
  <si>
    <t>серенький старичок</t>
  </si>
  <si>
    <t>серенький человечек</t>
  </si>
  <si>
    <t>серенькую бумажку</t>
  </si>
  <si>
    <t>серенький бумажка</t>
  </si>
  <si>
    <t>серенькую птичку</t>
  </si>
  <si>
    <t>синенькая жилка</t>
  </si>
  <si>
    <t>синенький жилка</t>
  </si>
  <si>
    <t>жилка</t>
  </si>
  <si>
    <t>синенький дымок</t>
  </si>
  <si>
    <t>дымок</t>
  </si>
  <si>
    <t>синенькую тетрадку</t>
  </si>
  <si>
    <t>синенький тетрадка</t>
  </si>
  <si>
    <t>тетрадка</t>
  </si>
  <si>
    <t>черненького хлебца</t>
  </si>
  <si>
    <t>черненький хлебец</t>
  </si>
  <si>
    <t>хлебец</t>
  </si>
  <si>
    <t>COUNTUNIQUE of LEMMA1</t>
  </si>
  <si>
    <t>Grand Total</t>
  </si>
  <si>
    <t>SUM of OCCURRENCES</t>
  </si>
  <si>
    <t>Усього для категорії "беленький"</t>
  </si>
  <si>
    <t>Усього для категорії "серенький"</t>
  </si>
  <si>
    <t>Усього для категорії "седенький"</t>
  </si>
  <si>
    <t>Усього для категорії "аленький"</t>
  </si>
  <si>
    <t>Усього для категорії "черненький"</t>
  </si>
  <si>
    <t>Усього для категорії "голубенький"</t>
  </si>
  <si>
    <t>Усього для категорії "желтенький"</t>
  </si>
  <si>
    <t>Усього для категорії "синенький"</t>
  </si>
  <si>
    <t>Усього для категорії "красненький"</t>
  </si>
  <si>
    <t>Усього для категорії "рыженький"</t>
  </si>
  <si>
    <t>Усього для категорії "зелененький"</t>
  </si>
  <si>
    <t>Усього для категорії "темненький"</t>
  </si>
  <si>
    <t>Усього для категорії "светленький"</t>
  </si>
  <si>
    <t>Усього для категорії "розовенький"</t>
  </si>
  <si>
    <t>Усього для категорії "пестренький"</t>
  </si>
  <si>
    <t>Усього для категорії ""</t>
  </si>
  <si>
    <t>Загальний результат</t>
  </si>
  <si>
    <t>черный</t>
  </si>
  <si>
    <t>глаз</t>
  </si>
  <si>
    <t>хлеб</t>
  </si>
  <si>
    <t>волос</t>
  </si>
  <si>
    <t>платье</t>
  </si>
  <si>
    <t>дым</t>
  </si>
  <si>
    <t>человек</t>
  </si>
  <si>
    <t>борода</t>
  </si>
  <si>
    <t>ус</t>
  </si>
  <si>
    <t>Усього для категорії "черный"</t>
  </si>
  <si>
    <t>белый</t>
  </si>
  <si>
    <t>дом</t>
  </si>
  <si>
    <t>платок</t>
  </si>
  <si>
    <t>город</t>
  </si>
  <si>
    <t>рука</t>
  </si>
  <si>
    <t>лицо</t>
  </si>
  <si>
    <t>бумага</t>
  </si>
  <si>
    <t>цветок</t>
  </si>
  <si>
    <t>Усього для категорії "белый"</t>
  </si>
  <si>
    <t>красный</t>
  </si>
  <si>
    <t>крест</t>
  </si>
  <si>
    <t>нос</t>
  </si>
  <si>
    <t>книга</t>
  </si>
  <si>
    <t>Усього для категорії "красный"</t>
  </si>
  <si>
    <t>седой</t>
  </si>
  <si>
    <t>голова</t>
  </si>
  <si>
    <t>старик</t>
  </si>
  <si>
    <t>Усього для категорії "седой"</t>
  </si>
  <si>
    <t>голубой</t>
  </si>
  <si>
    <t>Усього для категорії "голубой"</t>
  </si>
  <si>
    <t>серый</t>
  </si>
  <si>
    <t>Усього для категорії "серый"</t>
  </si>
  <si>
    <t>темный</t>
  </si>
  <si>
    <t>фигура</t>
  </si>
  <si>
    <t>Усього для категорії "темный"</t>
  </si>
  <si>
    <t>светлый</t>
  </si>
  <si>
    <t>Усього для категорії "светлый"</t>
  </si>
  <si>
    <t>карий</t>
  </si>
  <si>
    <t>Усього для категорії "карий"</t>
  </si>
  <si>
    <t>синий</t>
  </si>
  <si>
    <t>птица</t>
  </si>
  <si>
    <t>Усього для категорії "синий"</t>
  </si>
  <si>
    <t>зеленый</t>
  </si>
  <si>
    <t>трава</t>
  </si>
  <si>
    <t>Усього для категорії "зеленый"</t>
  </si>
  <si>
    <t>рыжий</t>
  </si>
  <si>
    <t>Усього для категорії "рыжий"</t>
  </si>
  <si>
    <t>мутный</t>
  </si>
  <si>
    <t>Усього для категорії "мутный"</t>
  </si>
  <si>
    <t>золотой</t>
  </si>
  <si>
    <t>Усього для категорії "золотой"</t>
  </si>
  <si>
    <t>русый</t>
  </si>
  <si>
    <t>Усього для категорії "русый"</t>
  </si>
  <si>
    <t>желтый</t>
  </si>
  <si>
    <t>Усього для категорії "желтый"</t>
  </si>
  <si>
    <t>румяный</t>
  </si>
  <si>
    <t>Усього для категорії "румяный"</t>
  </si>
  <si>
    <t>ек</t>
  </si>
  <si>
    <t>Усього для категорії "ек"</t>
  </si>
  <si>
    <t>ка</t>
  </si>
  <si>
    <t>Усього для категорії "ка"</t>
  </si>
  <si>
    <t>ок</t>
  </si>
  <si>
    <t>Усього для категорії "ок"</t>
  </si>
  <si>
    <t>ик</t>
  </si>
  <si>
    <t>Усього для категорії "ик"</t>
  </si>
  <si>
    <t>ице</t>
  </si>
  <si>
    <t>Усього для категорії "ице"</t>
  </si>
  <si>
    <t>ко</t>
  </si>
  <si>
    <t>Усього для категорії "ко"</t>
  </si>
  <si>
    <t>ец</t>
  </si>
  <si>
    <t>Усього для категорії "ец"</t>
  </si>
  <si>
    <t>це</t>
  </si>
  <si>
    <t>Усього для категорії "це"</t>
  </si>
  <si>
    <t>голубые глаза</t>
  </si>
  <si>
    <t>красного креста</t>
  </si>
  <si>
    <t>черные глаза</t>
  </si>
  <si>
    <t>голубыми глазами</t>
  </si>
  <si>
    <t>серые глаза</t>
  </si>
  <si>
    <t>белого дома</t>
  </si>
  <si>
    <t>черными глазами</t>
  </si>
  <si>
    <t>черного хлеба</t>
  </si>
  <si>
    <t>белый дом</t>
  </si>
  <si>
    <t>черные волосы</t>
  </si>
  <si>
    <t>седые волосы</t>
  </si>
  <si>
    <t>седых волос</t>
  </si>
  <si>
    <t>серыми глазами</t>
  </si>
  <si>
    <t>темные глаза</t>
  </si>
  <si>
    <t>белом платье</t>
  </si>
  <si>
    <t>карие глаза</t>
  </si>
  <si>
    <t>белом доме</t>
  </si>
  <si>
    <t>черном платье</t>
  </si>
  <si>
    <t>белого хлеба</t>
  </si>
  <si>
    <t>черный хлеб</t>
  </si>
  <si>
    <t>красный крест</t>
  </si>
  <si>
    <t>синие глаза</t>
  </si>
  <si>
    <t>белый хлеб</t>
  </si>
  <si>
    <t>белое платье</t>
  </si>
  <si>
    <t>черными волосами</t>
  </si>
  <si>
    <t>темными глазами</t>
  </si>
  <si>
    <t>карими глазами</t>
  </si>
  <si>
    <t>светлые волосы</t>
  </si>
  <si>
    <t>седой бородой</t>
  </si>
  <si>
    <t>седыми волосами</t>
  </si>
  <si>
    <t>седую голову</t>
  </si>
  <si>
    <t>светлые глаза</t>
  </si>
  <si>
    <t>черной бородой</t>
  </si>
  <si>
    <t>синими глазами</t>
  </si>
  <si>
    <t>черный человек</t>
  </si>
  <si>
    <t>рыжие волосы</t>
  </si>
  <si>
    <t>черное платье</t>
  </si>
  <si>
    <t>зеленые глаза</t>
  </si>
  <si>
    <t>темные волосы</t>
  </si>
  <si>
    <t>золотые руки</t>
  </si>
  <si>
    <t>красным крестом</t>
  </si>
  <si>
    <t>черный дым</t>
  </si>
  <si>
    <t>мутными глазами</t>
  </si>
  <si>
    <t>красным лицом</t>
  </si>
  <si>
    <t>белые руки</t>
  </si>
  <si>
    <t>черных волос</t>
  </si>
  <si>
    <t>седой старик</t>
  </si>
  <si>
    <t>зелеными глазами</t>
  </si>
  <si>
    <t>белое лицо</t>
  </si>
  <si>
    <t>черным хлебом</t>
  </si>
  <si>
    <t>русые волосы</t>
  </si>
  <si>
    <t>серых глаз</t>
  </si>
  <si>
    <t>черных глаз</t>
  </si>
  <si>
    <t>черными усами</t>
  </si>
  <si>
    <t>красное лицо</t>
  </si>
  <si>
    <t>светлыми глазами</t>
  </si>
  <si>
    <t>красную книгу</t>
  </si>
  <si>
    <t>красными глазами</t>
  </si>
  <si>
    <t>белом городе</t>
  </si>
  <si>
    <t>седой головой</t>
  </si>
  <si>
    <t>седыми усами</t>
  </si>
  <si>
    <t>черного дыма</t>
  </si>
  <si>
    <t>белый платок</t>
  </si>
  <si>
    <t>белой бумаги</t>
  </si>
  <si>
    <t>белым платком</t>
  </si>
  <si>
    <t>голубых глаз</t>
  </si>
  <si>
    <t>мутные глаза</t>
  </si>
  <si>
    <t>красным носом</t>
  </si>
  <si>
    <t>желтое лицо</t>
  </si>
  <si>
    <t>седые усы</t>
  </si>
  <si>
    <t>черных глазах</t>
  </si>
  <si>
    <t>рыжими волосами</t>
  </si>
  <si>
    <t>белый город</t>
  </si>
  <si>
    <t>седая голова</t>
  </si>
  <si>
    <t>седая борода</t>
  </si>
  <si>
    <t>белому дому</t>
  </si>
  <si>
    <t>темная фигура</t>
  </si>
  <si>
    <t>темные фигуры</t>
  </si>
  <si>
    <t>рыжей бородой</t>
  </si>
  <si>
    <t>светлыми волосами</t>
  </si>
  <si>
    <t>красные глаза</t>
  </si>
  <si>
    <t>белые люди</t>
  </si>
  <si>
    <t>зеленой траве</t>
  </si>
  <si>
    <t>краснаго креста</t>
  </si>
  <si>
    <t>красный нос</t>
  </si>
  <si>
    <t>синяя птица</t>
  </si>
  <si>
    <t>серых глазах</t>
  </si>
  <si>
    <t>румяное лицо</t>
  </si>
  <si>
    <t>белым хлебом</t>
  </si>
  <si>
    <t>зеленая трава</t>
  </si>
  <si>
    <t>черные люди</t>
  </si>
  <si>
    <t>белой бородой</t>
  </si>
  <si>
    <t>карих глаз</t>
  </si>
  <si>
    <t>темных глаз</t>
  </si>
  <si>
    <t>белые цветы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</si>
</sst>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b/>
      <color rgb="FFFFFFFF"/>
      <name val="Arial"/>
    </font>
  </fonts>
  <fills count="2">
    <fill>
      <patternFill patternType="none"/>
    </fill>
    <fill>
      <patternFill patternType="lightGray"/>
    </fill>
  </fills>
  <borders count="7">
    <border/>
    <border>
      <right style="thin">
        <color rgb="FFFFFFFF"/>
      </right>
      <bottom style="thin">
        <color rgb="FFA3B2CC"/>
      </bottom>
    </border>
    <border>
      <left style="thin">
        <color rgb="FFFFFFFF"/>
      </left>
      <right style="thin">
        <color rgb="FFFFFFFF"/>
      </right>
      <bottom style="thin">
        <color rgb="FFA3B2CC"/>
      </bottom>
    </border>
    <border>
      <left style="thin">
        <color rgb="FFFFFFFF"/>
      </left>
      <bottom style="thin">
        <color rgb="FFA3B2CC"/>
      </bottom>
    </border>
    <border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top style="thin">
        <color rgb="FFA3B2CC"/>
      </top>
      <bottom style="thin">
        <color rgb="FFA3B2CC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Font="1"/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Font="1"/>
    <xf borderId="0" fillId="0" fontId="3" numFmtId="0" xfId="0" applyFont="1"/>
    <xf borderId="1" fillId="0" fontId="4" numFmtId="0" xfId="0" applyAlignment="1" applyBorder="1" applyFont="1">
      <alignment horizontal="center" readingOrder="0" shrinkToFit="0" vertical="center" wrapText="0"/>
    </xf>
    <xf borderId="2" fillId="0" fontId="4" numFmtId="0" xfId="0" applyAlignment="1" applyBorder="1" applyFont="1">
      <alignment horizontal="center" readingOrder="0" shrinkToFit="0" vertical="center" wrapText="0"/>
    </xf>
    <xf borderId="3" fillId="0" fontId="4" numFmtId="0" xfId="0" applyAlignment="1" applyBorder="1" applyFont="1">
      <alignment horizontal="center" readingOrder="0" shrinkToFit="0" vertical="center" wrapText="0"/>
    </xf>
    <xf borderId="4" fillId="0" fontId="2" numFmtId="0" xfId="0" applyAlignment="1" applyBorder="1" applyFont="1">
      <alignment shrinkToFit="0" vertical="center" wrapText="0"/>
    </xf>
    <xf borderId="5" fillId="0" fontId="2" numFmtId="0" xfId="0" applyAlignment="1" applyBorder="1" applyFont="1">
      <alignment shrinkToFit="0" vertical="center" wrapText="0"/>
    </xf>
    <xf borderId="6" fillId="0" fontId="2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6C7687"/>
          <bgColor rgb="FF6C7687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border>
        <left style="thin">
          <color rgb="FF6C7687"/>
        </left>
        <right style="thin">
          <color rgb="FF6C7687"/>
        </right>
        <top style="thin">
          <color rgb="FF6C7687"/>
        </top>
        <bottom style="thin">
          <color rgb="FF6C7687"/>
        </bottom>
      </border>
    </dxf>
  </dxfs>
  <tableStyles count="1">
    <tableStyle count="4" pivot="0" name="уникальные с ик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F297" sheet="Серенький козлик"/>
  </cacheSource>
  <cacheFields>
    <cacheField name="OCCURRENCES" numFmtId="0">
      <sharedItems containsString="0" containsBlank="1" containsNumber="1" containsInteger="1">
        <n v="90.0"/>
        <n v="65.0"/>
        <n v="28.0"/>
        <n v="20.0"/>
        <n v="19.0"/>
        <n v="18.0"/>
        <n v="17.0"/>
        <n v="16.0"/>
        <n v="15.0"/>
        <n v="14.0"/>
        <n v="13.0"/>
        <n v="12.0"/>
        <n v="11.0"/>
        <n v="10.0"/>
        <n v="9.0"/>
        <n v="8.0"/>
        <n v="7.0"/>
        <n v="6.0"/>
        <n v="5.0"/>
        <n v="4.0"/>
        <m/>
      </sharedItems>
    </cacheField>
    <cacheField name="NGRAM" numFmtId="0">
      <sharedItems containsBlank="1">
        <s v="аленький цветочек"/>
        <s v="седенький старичок"/>
        <s v="серенький козлик"/>
        <s v="черненькие глазки"/>
        <s v="серенький домик"/>
        <s v="седенькой бородкой"/>
        <s v="беленький цветочек"/>
        <s v="голубенькие глазки"/>
        <s v="беленький домик"/>
        <s v="аленького цветочка"/>
        <s v="седенького старичка"/>
        <s v="седенькая старушка"/>
        <s v="черненькими усиками"/>
        <s v="серенькие глазки"/>
        <s v="беленькие домики"/>
        <s v="беленькая ручка"/>
        <s v="беленький платочек"/>
        <s v="зелененькую бумажку"/>
        <s v="красненькую бумажку"/>
        <s v="синенькую бумажку"/>
        <s v="темненькая фигурка"/>
        <s v="беленький крестик"/>
        <s v="рыженький человечек"/>
        <s v="серенькая птичка"/>
        <s v="черненький человечек"/>
        <s v="беленький старичок"/>
        <s v="беленьком платьице"/>
        <s v="голубенькими глазками"/>
        <s v="сереньком домике"/>
        <s v="сереньком пиджачке"/>
        <s v="беленькие цветочки"/>
        <s v="беленькое личико"/>
        <s v="беленькое платьице"/>
        <s v="рыженькой бородкой"/>
        <s v="седенькую бородку"/>
        <s v="сереньком платьице"/>
        <s v="беленькая собачка"/>
        <s v="беленьким платочком"/>
        <s v="беленьком платочке"/>
        <s v="беленькую ручку"/>
        <s v="желтенькие цветочки"/>
        <s v="красненький домик"/>
        <s v="седенькая бородка"/>
        <s v="серенькая мышка"/>
        <s v="серенький пиджачок"/>
        <s v="серенького домика"/>
        <s v="синенькими глазками"/>
        <s v="черненькими глазками"/>
        <s v="беленькие ручки"/>
        <s v="беленькие хатки"/>
        <s v="беленький зайчик"/>
        <s v="беленькими цветочками"/>
        <s v="беленькой кофточке"/>
        <s v="голубенький платочек"/>
        <s v="голубенькими цветочками"/>
        <s v="желтенькие бумажки"/>
        <s v="желтенький огонек"/>
        <s v="желтенький томик"/>
        <s v="желтенький цветочек"/>
        <s v="желтенькую бумажку"/>
        <s v="красненьком домике"/>
        <s v="седенький человечек"/>
        <s v="серенькими глазками"/>
        <s v="серенькому домику"/>
        <s v="серенькую книжку"/>
        <s v="синенький огонек"/>
        <s v="черненькой бородкой"/>
        <s v="черненькую головку"/>
        <s v="аленьким цветочком"/>
        <s v="аленьком цветочке"/>
        <s v="беленькие бумажки"/>
        <s v="беленький городок"/>
        <s v="беленькими домиками"/>
        <s v="беленькими ручками"/>
        <s v="беленьких цветочков"/>
        <s v="голубеньком платьице"/>
        <s v="желтенький домик"/>
        <s v="зелененькую травку"/>
        <s v="красненький платочек"/>
        <s v="красненьким носиком"/>
        <s v="красненькую книжечку"/>
        <s v="пестренькие птички"/>
        <s v="розовенькое платьице"/>
        <s v="рыженькая собачка"/>
        <s v="светленькие глазки"/>
        <s v="седенькие волосики"/>
        <s v="седенькому старичку"/>
        <s v="серенькие домики"/>
        <s v="серенький старичок"/>
        <s v="серенький человечек"/>
        <s v="серенькую бумажку"/>
        <s v="серенькую птичку"/>
        <s v="синенькая жилка"/>
        <s v="синенький дымок"/>
        <s v="синенькую тетрадку"/>
        <s v="черненького хлебца"/>
        <m/>
      </sharedItems>
    </cacheField>
    <cacheField name="NGRAM_LEMMA" numFmtId="0">
      <sharedItems containsBlank="1">
        <s v="аленький цветочек"/>
        <s v="седенький старичок"/>
        <s v="серенький козлик"/>
        <s v="черненький глазок"/>
        <s v="серенький домик"/>
        <s v="седенький бородка"/>
        <s v="беленький цветочек"/>
        <s v="голубенький глазок"/>
        <s v="беленький домик"/>
        <s v="седенький старушка"/>
        <s v="черненький усик"/>
        <s v="серенький глазок"/>
        <s v="беленький ручка"/>
        <s v="беленький платочек"/>
        <s v="зелененький бумажка"/>
        <s v="красненький бумажка"/>
        <s v="синенький бумажка"/>
        <s v="темненький фигурка"/>
        <s v="беленький крестик"/>
        <s v="рыженький человечек"/>
        <s v="серенький птичка"/>
        <s v="черненький человечек"/>
        <s v="беленький старичок"/>
        <s v="беленький платьице"/>
        <s v="серенький пиджачок"/>
        <s v="беленький личико"/>
        <s v="рыженький бородка"/>
        <s v="серенький платьице"/>
        <s v="беленький собачка"/>
        <s v="желтенький цветочек"/>
        <s v="красненький домик"/>
        <s v="серенький мышка"/>
        <s v="синенький глазок"/>
        <s v="беленький хатка"/>
        <s v="беленький зайчик"/>
        <s v="беленький кофточка"/>
        <s v="голубенький платочек"/>
        <s v="голубенький цветочек"/>
        <s v="желтенький бумажка"/>
        <s v="желтенький огонек"/>
        <s v="желтенький томик"/>
        <s v="седенький человечек"/>
        <s v="серенький книжка"/>
        <s v="синенький огонек"/>
        <s v="черненький бородка"/>
        <s v="черненький головка"/>
        <s v="беленький бумажка"/>
        <s v="беленький городок"/>
        <s v="голубенький платьице"/>
        <s v="желтенький домик"/>
        <s v="зелененький травка"/>
        <s v="красненький платочек"/>
        <s v="красненький носик"/>
        <s v="красненький книжечка"/>
        <s v="пестренький птичка"/>
        <s v="розовенький платьице"/>
        <s v="рыженький собачка"/>
        <s v="светленький глазок"/>
        <s v="седенький волосик"/>
        <s v="серенький старичок"/>
        <s v="серенький человечек"/>
        <s v="серенький бумажка"/>
        <s v="синенький жилка"/>
        <s v="синенький дымок"/>
        <s v="синенький тетрадка"/>
        <s v="черненький хлебец"/>
        <m/>
      </sharedItems>
    </cacheField>
    <cacheField name="LEMMA1" numFmtId="0">
      <sharedItems containsBlank="1">
        <s v="аленький"/>
        <s v="седенький"/>
        <s v="серенький"/>
        <s v="черненький"/>
        <s v="беленький"/>
        <s v="голубенький"/>
        <s v="зелененький"/>
        <s v="красненький"/>
        <s v="синенький"/>
        <s v="темненький"/>
        <s v="рыженький"/>
        <s v="желтенький"/>
        <s v="пестренький"/>
        <s v="розовенький"/>
        <s v="светленький"/>
        <m/>
      </sharedItems>
    </cacheField>
    <cacheField name="LEMMA2" numFmtId="0">
      <sharedItems containsBlank="1">
        <s v="цветочек"/>
        <s v="старичок"/>
        <s v="козлик"/>
        <s v="глазок"/>
        <s v="домик"/>
        <s v="бородка"/>
        <s v="старушка"/>
        <s v="усик"/>
        <s v="ручка"/>
        <s v="платочек"/>
        <s v="бумажка"/>
        <s v="фигурка"/>
        <s v="крестик"/>
        <s v="человечек"/>
        <s v="птичка"/>
        <s v="платьице"/>
        <s v="пиджачок"/>
        <s v="личико"/>
        <s v="собачка"/>
        <s v="мышка"/>
        <s v="хатка"/>
        <s v="зайчик"/>
        <s v="кофточка"/>
        <s v="огонек"/>
        <s v="томик"/>
        <s v="книжка"/>
        <s v="головка"/>
        <s v="городок"/>
        <s v="травка"/>
        <s v="носик"/>
        <s v="книжечка"/>
        <s v="волосик"/>
        <s v="жилка"/>
        <s v="дымок"/>
        <s v="тетрадка"/>
        <s v="хлебец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E96" sheet="Серый козел"/>
  </cacheSource>
  <cacheFields>
    <cacheField name="OCCURRENCES" numFmtId="0">
      <sharedItems containsSemiMixedTypes="0" containsString="0" containsNumber="1" containsInteger="1">
        <n v="1313.0"/>
        <n v="1310.0"/>
        <n v="1280.0"/>
        <n v="1069.0"/>
        <n v="1043.0"/>
        <n v="1012.0"/>
        <n v="960.0"/>
        <n v="903.0"/>
        <n v="735.0"/>
        <n v="720.0"/>
        <n v="680.0"/>
        <n v="647.0"/>
        <n v="613.0"/>
        <n v="610.0"/>
        <n v="589.0"/>
        <n v="584.0"/>
        <n v="542.0"/>
        <n v="477.0"/>
        <n v="462.0"/>
        <n v="451.0"/>
        <n v="435.0"/>
        <n v="434.0"/>
        <n v="411.0"/>
        <n v="400.0"/>
        <n v="394.0"/>
        <n v="386.0"/>
        <n v="381.0"/>
        <n v="361.0"/>
        <n v="357.0"/>
        <n v="350.0"/>
        <n v="335.0"/>
        <n v="332.0"/>
        <n v="323.0"/>
        <n v="322.0"/>
        <n v="313.0"/>
        <n v="300.0"/>
        <n v="298.0"/>
        <n v="294.0"/>
        <n v="283.0"/>
        <n v="275.0"/>
        <n v="273.0"/>
        <n v="272.0"/>
        <n v="271.0"/>
        <n v="266.0"/>
        <n v="263.0"/>
        <n v="262.0"/>
        <n v="261.0"/>
        <n v="259.0"/>
        <n v="253.0"/>
        <n v="235.0"/>
        <n v="234.0"/>
        <n v="231.0"/>
        <n v="230.0"/>
        <n v="221.0"/>
        <n v="220.0"/>
        <n v="218.0"/>
        <n v="209.0"/>
        <n v="198.0"/>
        <n v="193.0"/>
        <n v="190.0"/>
        <n v="187.0"/>
        <n v="186.0"/>
        <n v="184.0"/>
        <n v="183.0"/>
        <n v="182.0"/>
        <n v="181.0"/>
        <n v="177.0"/>
        <n v="176.0"/>
        <n v="174.0"/>
        <n v="173.0"/>
        <n v="166.0"/>
        <n v="160.0"/>
        <n v="158.0"/>
        <n v="157.0"/>
        <n v="156.0"/>
        <n v="154.0"/>
        <n v="153.0"/>
        <n v="151.0"/>
        <n v="148.0"/>
        <n v="145.0"/>
      </sharedItems>
    </cacheField>
    <cacheField name="NGRAM" numFmtId="0">
      <sharedItems>
        <s v="голубые глаза"/>
        <s v="красного креста"/>
        <s v="черные глаза"/>
        <s v="голубыми глазами"/>
        <s v="серые глаза"/>
        <s v="белого дома"/>
        <s v="черными глазами"/>
        <s v="черного хлеба"/>
        <s v="белый дом"/>
        <s v="черные волосы"/>
        <s v="седые волосы"/>
        <s v="седых волос"/>
        <s v="серыми глазами"/>
        <s v="темные глаза"/>
        <s v="белом платье"/>
        <s v="карие глаза"/>
        <s v="белом доме"/>
        <s v="черном платье"/>
        <s v="белого хлеба"/>
        <s v="черный хлеб"/>
        <s v="красный крест"/>
        <s v="синие глаза"/>
        <s v="белый хлеб"/>
        <s v="белое платье"/>
        <s v="черными волосами"/>
        <s v="темными глазами"/>
        <s v="карими глазами"/>
        <s v="светлые волосы"/>
        <s v="седой бородой"/>
        <s v="седыми волосами"/>
        <s v="седую голову"/>
        <s v="светлые глаза"/>
        <s v="черной бородой"/>
        <s v="синими глазами"/>
        <s v="черный человек"/>
        <s v="рыжие волосы"/>
        <s v="черное платье"/>
        <s v="зеленые глаза"/>
        <s v="темные волосы"/>
        <s v="золотые руки"/>
        <s v="красным крестом"/>
        <s v="черный дым"/>
        <s v="мутными глазами"/>
        <s v="красным лицом"/>
        <s v="белые руки"/>
        <s v="черных волос"/>
        <s v="седой старик"/>
        <s v="зелеными глазами"/>
        <s v="белое лицо"/>
        <s v="черным хлебом"/>
        <s v="русые волосы"/>
        <s v="серых глаз"/>
        <s v="черных глаз"/>
        <s v="черными усами"/>
        <s v="красное лицо"/>
        <s v="светлыми глазами"/>
        <s v="красную книгу"/>
        <s v="красными глазами"/>
        <s v="белом городе"/>
        <s v="седой головой"/>
        <s v="седыми усами"/>
        <s v="черного дыма"/>
        <s v="белый платок"/>
        <s v="белой бумаги"/>
        <s v="белым платком"/>
        <s v="голубых глаз"/>
        <s v="мутные глаза"/>
        <s v="красным носом"/>
        <s v="желтое лицо"/>
        <s v="седые усы"/>
        <s v="черных глазах"/>
        <s v="рыжими волосами"/>
        <s v="белый город"/>
        <s v="седая голова"/>
        <s v="седая борода"/>
        <s v="белому дому"/>
        <s v="темная фигура"/>
        <s v="темные фигуры"/>
        <s v="рыжей бородой"/>
        <s v="светлыми волосами"/>
        <s v="красные глаза"/>
        <s v="белые люди"/>
        <s v="зеленой траве"/>
        <s v="краснаго креста"/>
        <s v="красный нос"/>
        <s v="синяя птица"/>
        <s v="серых глазах"/>
        <s v="румяное лицо"/>
        <s v="белым хлебом"/>
        <s v="зеленая трава"/>
        <s v="черные люди"/>
        <s v="белой бородой"/>
        <s v="карих глаз"/>
        <s v="темных глаз"/>
        <s v="белые цветы"/>
      </sharedItems>
    </cacheField>
    <cacheField name="LEMMA1" numFmtId="0">
      <sharedItems>
        <s v="голубой"/>
        <s v="красный"/>
        <s v="черный"/>
        <s v="серый"/>
        <s v="белый"/>
        <s v="седой"/>
        <s v="темный"/>
        <s v="карий"/>
        <s v="синий"/>
        <s v="светлый"/>
        <s v="рыжий"/>
        <s v="зеленый"/>
        <s v="золотой"/>
        <s v="мутный"/>
        <s v="русый"/>
        <s v="желтый"/>
        <s v="румяный"/>
      </sharedItems>
    </cacheField>
    <cacheField name="LEMMA2" numFmtId="0">
      <sharedItems>
        <s v="глаз"/>
        <s v="крест"/>
        <s v="дом"/>
        <s v="хлеб"/>
        <s v="волос"/>
        <s v="платье"/>
        <s v="борода"/>
        <s v="голова"/>
        <s v="человек"/>
        <s v="рука"/>
        <s v="дым"/>
        <s v="лицо"/>
        <s v="старик"/>
        <s v="ус"/>
        <s v="книга"/>
        <s v="город"/>
        <s v="платок"/>
        <s v="бумага"/>
        <s v="нос"/>
        <s v="фигура"/>
        <s v="трава"/>
        <s v="птица"/>
        <s v="цветок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297" sheet="Серенький козлик"/>
  </cacheSource>
  <cacheFields>
    <cacheField name="DOCUMENTS" numFmtId="0">
      <sharedItems containsString="0" containsBlank="1" containsNumber="1" containsInteger="1">
        <n v="52.0"/>
        <n v="62.0"/>
        <n v="21.0"/>
        <n v="14.0"/>
        <n v="19.0"/>
        <n v="18.0"/>
        <n v="3.0"/>
        <n v="12.0"/>
        <n v="11.0"/>
        <n v="10.0"/>
        <n v="9.0"/>
        <n v="2.0"/>
        <n v="7.0"/>
        <n v="6.0"/>
        <n v="8.0"/>
        <n v="1.0"/>
        <n v="4.0"/>
        <n v="5.0"/>
        <m/>
      </sharedItems>
    </cacheField>
    <cacheField name="OCCURRENCES" numFmtId="0">
      <sharedItems containsString="0" containsBlank="1" containsNumber="1" containsInteger="1">
        <n v="90.0"/>
        <n v="65.0"/>
        <n v="28.0"/>
        <n v="20.0"/>
        <n v="19.0"/>
        <n v="18.0"/>
        <n v="17.0"/>
        <n v="16.0"/>
        <n v="15.0"/>
        <n v="14.0"/>
        <n v="13.0"/>
        <n v="12.0"/>
        <n v="11.0"/>
        <n v="10.0"/>
        <n v="9.0"/>
        <n v="8.0"/>
        <n v="7.0"/>
        <n v="6.0"/>
        <n v="5.0"/>
        <n v="4.0"/>
        <m/>
      </sharedItems>
    </cacheField>
    <cacheField name="NGRAM" numFmtId="0">
      <sharedItems containsBlank="1">
        <s v="аленький цветочек"/>
        <s v="седенький старичок"/>
        <s v="серенький козлик"/>
        <s v="черненькие глазки"/>
        <s v="серенький домик"/>
        <s v="седенькой бородкой"/>
        <s v="беленький цветочек"/>
        <s v="голубенькие глазки"/>
        <s v="беленький домик"/>
        <s v="аленького цветочка"/>
        <s v="седенького старичка"/>
        <s v="седенькая старушка"/>
        <s v="черненькими усиками"/>
        <s v="серенькие глазки"/>
        <s v="беленькие домики"/>
        <s v="беленькая ручка"/>
        <s v="беленький платочек"/>
        <s v="зелененькую бумажку"/>
        <s v="красненькую бумажку"/>
        <s v="синенькую бумажку"/>
        <s v="темненькая фигурка"/>
        <s v="беленький крестик"/>
        <s v="рыженький человечек"/>
        <s v="серенькая птичка"/>
        <s v="черненький человечек"/>
        <s v="беленький старичок"/>
        <s v="беленьком платьице"/>
        <s v="голубенькими глазками"/>
        <s v="сереньком домике"/>
        <s v="сереньком пиджачке"/>
        <s v="беленькие цветочки"/>
        <s v="беленькое личико"/>
        <s v="беленькое платьице"/>
        <s v="рыженькой бородкой"/>
        <s v="седенькую бородку"/>
        <s v="сереньком платьице"/>
        <s v="беленькая собачка"/>
        <s v="беленьким платочком"/>
        <s v="беленьком платочке"/>
        <s v="беленькую ручку"/>
        <s v="желтенькие цветочки"/>
        <s v="красненький домик"/>
        <s v="седенькая бородка"/>
        <s v="серенькая мышка"/>
        <s v="серенький пиджачок"/>
        <s v="серенького домика"/>
        <s v="синенькими глазками"/>
        <s v="черненькими глазками"/>
        <s v="беленькие ручки"/>
        <s v="беленькие хатки"/>
        <s v="беленький зайчик"/>
        <s v="беленькими цветочками"/>
        <s v="беленькой кофточке"/>
        <s v="голубенький платочек"/>
        <s v="голубенькими цветочками"/>
        <s v="желтенькие бумажки"/>
        <s v="желтенький огонек"/>
        <s v="желтенький томик"/>
        <s v="желтенький цветочек"/>
        <s v="желтенькую бумажку"/>
        <s v="красненьком домике"/>
        <s v="седенький человечек"/>
        <s v="серенькими глазками"/>
        <s v="серенькому домику"/>
        <s v="серенькую книжку"/>
        <s v="синенький огонек"/>
        <s v="черненькой бородкой"/>
        <s v="черненькую головку"/>
        <s v="аленьким цветочком"/>
        <s v="аленьком цветочке"/>
        <s v="беленькие бумажки"/>
        <s v="беленький городок"/>
        <s v="беленькими домиками"/>
        <s v="беленькими ручками"/>
        <s v="беленьких цветочков"/>
        <s v="голубеньком платьице"/>
        <s v="желтенький домик"/>
        <s v="зелененькую травку"/>
        <s v="красненький платочек"/>
        <s v="красненьким носиком"/>
        <s v="красненькую книжечку"/>
        <s v="пестренькие птички"/>
        <s v="розовенькое платьице"/>
        <s v="рыженькая собачка"/>
        <s v="светленькие глазки"/>
        <s v="седенькие волосики"/>
        <s v="седенькому старичку"/>
        <s v="серенькие домики"/>
        <s v="серенький старичок"/>
        <s v="серенький человечек"/>
        <s v="серенькую бумажку"/>
        <s v="серенькую птичку"/>
        <s v="синенькая жилка"/>
        <s v="синенький дымок"/>
        <s v="синенькую тетрадку"/>
        <s v="черненького хлебца"/>
        <m/>
      </sharedItems>
    </cacheField>
    <cacheField name="NGRAM_LEMMA" numFmtId="0">
      <sharedItems containsBlank="1">
        <s v="аленький цветочек"/>
        <s v="седенький старичок"/>
        <s v="серенький козлик"/>
        <s v="черненький глазок"/>
        <s v="серенький домик"/>
        <s v="седенький бородка"/>
        <s v="беленький цветочек"/>
        <s v="голубенький глазок"/>
        <s v="беленький домик"/>
        <s v="седенький старушка"/>
        <s v="черненький усик"/>
        <s v="серенький глазок"/>
        <s v="беленький ручка"/>
        <s v="беленький платочек"/>
        <s v="зелененький бумажка"/>
        <s v="красненький бумажка"/>
        <s v="синенький бумажка"/>
        <s v="темненький фигурка"/>
        <s v="беленький крестик"/>
        <s v="рыженький человечек"/>
        <s v="серенький птичка"/>
        <s v="черненький человечек"/>
        <s v="беленький старичок"/>
        <s v="беленький платьице"/>
        <s v="серенький пиджачок"/>
        <s v="беленький личико"/>
        <s v="рыженький бородка"/>
        <s v="серенький платьице"/>
        <s v="беленький собачка"/>
        <s v="желтенький цветочек"/>
        <s v="красненький домик"/>
        <s v="серенький мышка"/>
        <s v="синенький глазок"/>
        <s v="беленький хатка"/>
        <s v="беленький зайчик"/>
        <s v="беленький кофточка"/>
        <s v="голубенький платочек"/>
        <s v="голубенький цветочек"/>
        <s v="желтенький бумажка"/>
        <s v="желтенький огонек"/>
        <s v="желтенький томик"/>
        <s v="седенький человечек"/>
        <s v="серенький книжка"/>
        <s v="синенький огонек"/>
        <s v="черненький бородка"/>
        <s v="черненький головка"/>
        <s v="беленький бумажка"/>
        <s v="беленький городок"/>
        <s v="голубенький платьице"/>
        <s v="желтенький домик"/>
        <s v="зелененький травка"/>
        <s v="красненький платочек"/>
        <s v="красненький носик"/>
        <s v="красненький книжечка"/>
        <s v="пестренький птичка"/>
        <s v="розовенький платьице"/>
        <s v="рыженький собачка"/>
        <s v="светленький глазок"/>
        <s v="седенький волосик"/>
        <s v="серенький старичок"/>
        <s v="серенький человечек"/>
        <s v="серенький бумажка"/>
        <s v="синенький жилка"/>
        <s v="синенький дымок"/>
        <s v="синенький тетрадка"/>
        <s v="черненький хлебец"/>
        <m/>
      </sharedItems>
    </cacheField>
    <cacheField name="LEMMA1" numFmtId="0">
      <sharedItems containsBlank="1">
        <s v="аленький"/>
        <s v="седенький"/>
        <s v="серенький"/>
        <s v="черненький"/>
        <s v="беленький"/>
        <s v="голубенький"/>
        <s v="зелененький"/>
        <s v="красненький"/>
        <s v="синенький"/>
        <s v="темненький"/>
        <s v="рыженький"/>
        <s v="желтенький"/>
        <s v="пестренький"/>
        <s v="розовенький"/>
        <s v="светленький"/>
        <m/>
      </sharedItems>
    </cacheField>
    <cacheField name="LEMMA2" numFmtId="0">
      <sharedItems containsBlank="1">
        <s v="цветочек"/>
        <s v="старичок"/>
        <s v="козлик"/>
        <s v="глазок"/>
        <s v="домик"/>
        <s v="бородка"/>
        <s v="старушка"/>
        <s v="усик"/>
        <s v="ручка"/>
        <s v="платочек"/>
        <s v="бумажка"/>
        <s v="фигурка"/>
        <s v="крестик"/>
        <s v="человечек"/>
        <s v="птичка"/>
        <s v="платьице"/>
        <s v="пиджачок"/>
        <s v="личико"/>
        <s v="собачка"/>
        <s v="мышка"/>
        <s v="хатка"/>
        <s v="зайчик"/>
        <s v="кофточка"/>
        <s v="огонек"/>
        <s v="томик"/>
        <s v="книжка"/>
        <s v="головка"/>
        <s v="городок"/>
        <s v="травка"/>
        <s v="носик"/>
        <s v="книжечка"/>
        <s v="волосик"/>
        <s v="жилка"/>
        <s v="дымок"/>
        <s v="тетрадка"/>
        <s v="хлебец"/>
        <m/>
      </sharedItems>
    </cacheField>
    <cacheField name="SUFFIX" numFmtId="0">
      <sharedItems containsBlank="1">
        <s v="ек"/>
        <s v="ок"/>
        <s v="ик"/>
        <s v="ка"/>
        <s v="ице"/>
        <s v="ко"/>
        <s v="ец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B297" sheet="Серенький козлик"/>
  </cacheSource>
  <cacheFields>
    <cacheField name="OCCURRENCES" numFmtId="0">
      <sharedItems containsString="0" containsBlank="1" containsNumber="1" containsInteger="1">
        <n v="90.0"/>
        <n v="65.0"/>
        <n v="28.0"/>
        <n v="20.0"/>
        <n v="19.0"/>
        <n v="18.0"/>
        <n v="17.0"/>
        <n v="16.0"/>
        <n v="15.0"/>
        <n v="14.0"/>
        <n v="13.0"/>
        <n v="12.0"/>
        <n v="11.0"/>
        <n v="10.0"/>
        <n v="9.0"/>
        <n v="8.0"/>
        <n v="7.0"/>
        <n v="6.0"/>
        <n v="5.0"/>
        <n v="4.0"/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C297" sheet="Sheet3"/>
  </cacheSource>
  <cacheFields>
    <cacheField name="цветочек" numFmtId="0">
      <sharedItems containsBlank="1">
        <s v="цветочек"/>
        <s v="платочек"/>
        <s v="человечек"/>
        <s v="огонек"/>
        <s v="хлебец"/>
        <s v="козлик"/>
        <s v="домик"/>
        <s v="усик"/>
        <s v="крестик"/>
        <s v="зайчик"/>
        <s v="томик"/>
        <s v="носик"/>
        <s v="волосик"/>
        <s v="бородка"/>
        <s v="старушка"/>
        <s v="ручка"/>
        <s v="бумажка"/>
        <s v="фигурка"/>
        <s v="птичка"/>
        <s v="собачка"/>
        <s v="мышка"/>
        <s v="хатка"/>
        <s v="кофточка"/>
        <s v="книжка"/>
        <s v="головка"/>
        <s v="травка"/>
        <s v="книжечка"/>
        <s v="жилка"/>
        <s v="тетрадка"/>
        <s v="личико"/>
        <s v="старичок"/>
        <s v="глазок"/>
        <s v="пиджачок"/>
        <s v="городок"/>
        <s v="дымок"/>
        <s v="платьице"/>
        <m/>
      </sharedItems>
    </cacheField>
    <cacheField name="ек" numFmtId="0">
      <sharedItems containsBlank="1">
        <s v="ек"/>
        <s v="ец"/>
        <s v="ик"/>
        <s v="ка"/>
        <s v="ко"/>
        <s v="ок"/>
        <s v="це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димунативы" cacheId="0" dataCaption="" compact="0" compactData="0">
  <location ref="A1:C85" firstHeaderRow="0" firstDataRow="2" firstDataCol="0"/>
  <pivotFields>
    <pivotField name="OCCURRENC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NGRA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name="NGRAM_LEMM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name="LEMMA1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LEMMA2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</pivotFields>
  <rowFields>
    <field x="3"/>
    <field x="4"/>
  </rowFields>
  <dataFields>
    <dataField name="SUM of OCCURRENCES" fld="0" baseField="0"/>
  </dataFields>
</pivotTableDefinition>
</file>

<file path=xl/pivotTables/pivotTable2.xml><?xml version="1.0" encoding="utf-8"?>
<pivotTableDefinition xmlns="http://schemas.openxmlformats.org/spreadsheetml/2006/main" name="обычные" cacheId="1" dataCaption="" compact="0" compactData="0">
  <location ref="A1:C67" firstHeaderRow="0" firstDataRow="2" firstDataCol="0"/>
  <pivotFields>
    <pivotField name="OCCURRENC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name="NGRA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t="default"/>
      </items>
    </pivotField>
    <pivotField name="LEMMA1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LEMMA2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</pivotFields>
  <rowFields>
    <field x="2"/>
    <field x="3"/>
  </rowFields>
  <dataFields>
    <dataField name="SUM of OCCURRENCES" fld="0" baseField="0"/>
  </dataFields>
</pivotTableDefinition>
</file>

<file path=xl/pivotTables/pivotTable3.xml><?xml version="1.0" encoding="utf-8"?>
<pivotTableDefinition xmlns="http://schemas.openxmlformats.org/spreadsheetml/2006/main" name="суффиксы" cacheId="2" dataCaption="" compact="0" compactData="0">
  <location ref="A1:C47" firstHeaderRow="0" firstDataRow="2" firstDataCol="0"/>
  <pivotFields>
    <pivotField name="DOCUMEN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OCCURRENC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NGRA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name="NGRAM_LEMM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name="LEMMA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LEMMA2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SUFFIX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</pivotFields>
  <rowFields>
    <field x="6"/>
    <field x="5"/>
  </rowFields>
  <dataFields>
    <dataField name="SUM of OCCURRENCES" fld="1" baseField="0"/>
  </dataFields>
</pivotTableDefinition>
</file>

<file path=xl/pivotTables/pivotTable4.xml><?xml version="1.0" encoding="utf-8"?>
<pivotTableDefinition xmlns="http://schemas.openxmlformats.org/spreadsheetml/2006/main" name="Pivot Table 3" cacheId="3" dataCaption="" compact="0" compactData="0">
  <location ref="A1:B23" firstHeaderRow="0" firstDataRow="1" firstDataCol="0"/>
  <pivotFields>
    <pivotField name="OCCURRENCES" axis="axisRow" dataField="1" compact="0" outline="0" multipleItemSelectionAllowed="1" showAll="0" sortType="ascending">
      <items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</pivotFields>
  <rowFields>
    <field x="0"/>
  </rowFields>
  <dataFields>
    <dataField name="SUM of OCCURRENCES" fld="0" baseField="0"/>
  </dataFields>
</pivotTableDefinition>
</file>

<file path=xl/pivotTables/pivotTable5.xml><?xml version="1.0" encoding="utf-8"?>
<pivotTableDefinition xmlns="http://schemas.openxmlformats.org/spreadsheetml/2006/main" name="Pivot Table 1" cacheId="4" dataCaption="" compact="0" compactData="0">
  <location ref="A1:C47" firstHeaderRow="0" firstDataRow="2" firstDataCol="0"/>
  <pivotFields>
    <pivotField name="цветочек" axis="axisRow" compact="0" outline="0" multipleItemSelectionAllowed="1" showAll="0" sortType="ascending">
      <items>
        <item x="36"/>
        <item x="13"/>
        <item x="16"/>
        <item x="12"/>
        <item x="31"/>
        <item x="24"/>
        <item x="33"/>
        <item x="6"/>
        <item x="34"/>
        <item x="27"/>
        <item x="9"/>
        <item x="26"/>
        <item x="23"/>
        <item x="5"/>
        <item x="22"/>
        <item x="8"/>
        <item x="29"/>
        <item x="20"/>
        <item x="11"/>
        <item x="3"/>
        <item x="32"/>
        <item x="1"/>
        <item x="35"/>
        <item x="18"/>
        <item x="15"/>
        <item x="19"/>
        <item x="30"/>
        <item x="14"/>
        <item x="28"/>
        <item x="10"/>
        <item x="25"/>
        <item x="7"/>
        <item x="17"/>
        <item x="21"/>
        <item x="4"/>
        <item x="0"/>
        <item x="2"/>
        <item t="default"/>
      </items>
    </pivotField>
    <pivotField name="ек" axis="axisRow" compact="0" outline="0" multipleItemSelectionAllowed="1" showAll="0" sortType="ascending">
      <items>
        <item x="7"/>
        <item x="0"/>
        <item x="1"/>
        <item x="2"/>
        <item x="3"/>
        <item x="4"/>
        <item x="5"/>
        <item x="6"/>
        <item t="default"/>
      </items>
    </pivotField>
  </pivotFields>
  <rowFields>
    <field x="1"/>
    <field x="0"/>
  </rowFields>
</pivotTableDefinition>
</file>

<file path=xl/tables/table1.xml><?xml version="1.0" encoding="utf-8"?>
<table xmlns="http://schemas.openxmlformats.org/spreadsheetml/2006/main" ref="A1:G19" displayName="Table_1" name="Table_1" id="1">
  <tableColumns count="7">
    <tableColumn name="DOCUMENTS" id="1"/>
    <tableColumn name="OCCURRENCES" id="2"/>
    <tableColumn name="NGRAM" id="3"/>
    <tableColumn name="NGRAM_LEMMA" id="4"/>
    <tableColumn name="LEMMA1" id="5"/>
    <tableColumn name="LEMMA2" id="6"/>
    <tableColumn name="SUFFIX" id="7"/>
  </tableColumns>
  <tableStyleInfo name="уникальные с ик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1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1.75"/>
    <col customWidth="1" min="2" max="2" width="14.0"/>
    <col customWidth="1" min="3" max="3" width="21.13"/>
    <col customWidth="1" min="4" max="5" width="18.38"/>
    <col customWidth="1" min="6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5.75" customHeight="1">
      <c r="A2" s="3">
        <v>52.0</v>
      </c>
      <c r="B2" s="3">
        <v>90.0</v>
      </c>
      <c r="C2" s="4" t="s">
        <v>7</v>
      </c>
      <c r="D2" s="4" t="s">
        <v>7</v>
      </c>
      <c r="E2" s="4" t="s">
        <v>8</v>
      </c>
      <c r="F2" s="4" t="s">
        <v>9</v>
      </c>
      <c r="G2" s="4" t="str">
        <f t="shared" ref="G2:G97" si="1">IF(RIGHT(F2,2)="ек", "ек",
 IF(RIGHT(F2,2)="ок", "ок",
  IF(RIGHT(F2,2)="ик", "ик",
   IF(RIGHT(F2,2)="ка", "ка",
    IF(RIGHT(F2,2)="ко", "ко",
     IF(RIGHT(F2,3)="ице", "ице",
      IF(RIGHT(F2,2)="ец", "ец")
     )
    )
   )
  )
 )
)</f>
        <v>ек</v>
      </c>
      <c r="H2" s="4"/>
    </row>
    <row r="3" ht="15.75" customHeight="1">
      <c r="A3" s="3">
        <v>62.0</v>
      </c>
      <c r="B3" s="3">
        <v>65.0</v>
      </c>
      <c r="C3" s="4" t="s">
        <v>10</v>
      </c>
      <c r="D3" s="4" t="s">
        <v>10</v>
      </c>
      <c r="E3" s="4" t="s">
        <v>11</v>
      </c>
      <c r="F3" s="4" t="s">
        <v>12</v>
      </c>
      <c r="G3" s="4" t="str">
        <f t="shared" si="1"/>
        <v>ок</v>
      </c>
      <c r="H3" s="4"/>
    </row>
    <row r="4" ht="15.75" customHeight="1">
      <c r="A4" s="3">
        <v>21.0</v>
      </c>
      <c r="B4" s="3">
        <v>28.0</v>
      </c>
      <c r="C4" s="4" t="s">
        <v>13</v>
      </c>
      <c r="D4" s="4" t="s">
        <v>13</v>
      </c>
      <c r="E4" s="4" t="s">
        <v>14</v>
      </c>
      <c r="F4" s="4" t="s">
        <v>15</v>
      </c>
      <c r="G4" s="4" t="str">
        <f t="shared" si="1"/>
        <v>ик</v>
      </c>
      <c r="H4" s="4"/>
    </row>
    <row r="5" ht="15.75" customHeight="1">
      <c r="A5" s="3">
        <v>14.0</v>
      </c>
      <c r="B5" s="3">
        <v>20.0</v>
      </c>
      <c r="C5" s="4" t="s">
        <v>16</v>
      </c>
      <c r="D5" s="4" t="s">
        <v>17</v>
      </c>
      <c r="E5" s="4" t="s">
        <v>18</v>
      </c>
      <c r="F5" s="4" t="s">
        <v>19</v>
      </c>
      <c r="G5" s="4" t="str">
        <f t="shared" si="1"/>
        <v>ок</v>
      </c>
      <c r="H5" s="4"/>
    </row>
    <row r="6" ht="15.75" customHeight="1">
      <c r="A6" s="3">
        <v>19.0</v>
      </c>
      <c r="B6" s="3">
        <v>19.0</v>
      </c>
      <c r="C6" s="4" t="s">
        <v>20</v>
      </c>
      <c r="D6" s="4" t="s">
        <v>20</v>
      </c>
      <c r="E6" s="4" t="s">
        <v>14</v>
      </c>
      <c r="F6" s="4" t="s">
        <v>21</v>
      </c>
      <c r="G6" s="4" t="str">
        <f t="shared" si="1"/>
        <v>ик</v>
      </c>
      <c r="H6" s="4"/>
    </row>
    <row r="7" ht="15.75" customHeight="1">
      <c r="A7" s="3">
        <v>18.0</v>
      </c>
      <c r="B7" s="3">
        <v>18.0</v>
      </c>
      <c r="C7" s="4" t="s">
        <v>22</v>
      </c>
      <c r="D7" s="4" t="s">
        <v>23</v>
      </c>
      <c r="E7" s="4" t="s">
        <v>11</v>
      </c>
      <c r="F7" s="4" t="s">
        <v>24</v>
      </c>
      <c r="G7" s="4" t="str">
        <f t="shared" si="1"/>
        <v>ка</v>
      </c>
      <c r="H7" s="4"/>
    </row>
    <row r="8" ht="15.75" customHeight="1">
      <c r="A8" s="3">
        <v>3.0</v>
      </c>
      <c r="B8" s="3">
        <v>17.0</v>
      </c>
      <c r="C8" s="4" t="s">
        <v>25</v>
      </c>
      <c r="D8" s="4" t="s">
        <v>25</v>
      </c>
      <c r="E8" s="4" t="s">
        <v>26</v>
      </c>
      <c r="F8" s="4" t="s">
        <v>9</v>
      </c>
      <c r="G8" s="4" t="str">
        <f t="shared" si="1"/>
        <v>ек</v>
      </c>
      <c r="H8" s="4"/>
    </row>
    <row r="9" ht="15.75" customHeight="1">
      <c r="A9" s="3">
        <v>12.0</v>
      </c>
      <c r="B9" s="3">
        <v>16.0</v>
      </c>
      <c r="C9" s="4" t="s">
        <v>27</v>
      </c>
      <c r="D9" s="4" t="s">
        <v>28</v>
      </c>
      <c r="E9" s="4" t="s">
        <v>29</v>
      </c>
      <c r="F9" s="4" t="s">
        <v>19</v>
      </c>
      <c r="G9" s="4" t="str">
        <f t="shared" si="1"/>
        <v>ок</v>
      </c>
      <c r="H9" s="4"/>
    </row>
    <row r="10" ht="15.75" customHeight="1">
      <c r="A10" s="3">
        <v>12.0</v>
      </c>
      <c r="B10" s="3">
        <v>15.0</v>
      </c>
      <c r="C10" s="4" t="s">
        <v>30</v>
      </c>
      <c r="D10" s="4" t="s">
        <v>30</v>
      </c>
      <c r="E10" s="4" t="s">
        <v>26</v>
      </c>
      <c r="F10" s="4" t="s">
        <v>21</v>
      </c>
      <c r="G10" s="4" t="str">
        <f t="shared" si="1"/>
        <v>ик</v>
      </c>
      <c r="H10" s="4"/>
    </row>
    <row r="11" ht="15.75" customHeight="1">
      <c r="A11" s="3">
        <v>14.0</v>
      </c>
      <c r="B11" s="3">
        <v>14.0</v>
      </c>
      <c r="C11" s="4" t="s">
        <v>31</v>
      </c>
      <c r="D11" s="4" t="s">
        <v>7</v>
      </c>
      <c r="E11" s="4" t="s">
        <v>8</v>
      </c>
      <c r="F11" s="4" t="s">
        <v>9</v>
      </c>
      <c r="G11" s="4" t="str">
        <f t="shared" si="1"/>
        <v>ек</v>
      </c>
      <c r="H11" s="4"/>
    </row>
    <row r="12" ht="15.75" customHeight="1">
      <c r="A12" s="3">
        <v>14.0</v>
      </c>
      <c r="B12" s="3">
        <v>14.0</v>
      </c>
      <c r="C12" s="4" t="s">
        <v>32</v>
      </c>
      <c r="D12" s="4" t="s">
        <v>10</v>
      </c>
      <c r="E12" s="4" t="s">
        <v>11</v>
      </c>
      <c r="F12" s="4" t="s">
        <v>12</v>
      </c>
      <c r="G12" s="4" t="str">
        <f t="shared" si="1"/>
        <v>ок</v>
      </c>
      <c r="H12" s="4"/>
    </row>
    <row r="13" ht="15.75" customHeight="1">
      <c r="A13" s="3">
        <v>11.0</v>
      </c>
      <c r="B13" s="3">
        <v>13.0</v>
      </c>
      <c r="C13" s="4" t="s">
        <v>33</v>
      </c>
      <c r="D13" s="4" t="s">
        <v>34</v>
      </c>
      <c r="E13" s="4" t="s">
        <v>11</v>
      </c>
      <c r="F13" s="4" t="s">
        <v>35</v>
      </c>
      <c r="G13" s="4" t="str">
        <f t="shared" si="1"/>
        <v>ка</v>
      </c>
      <c r="H13" s="4"/>
    </row>
    <row r="14" ht="15.75" customHeight="1">
      <c r="A14" s="3">
        <v>11.0</v>
      </c>
      <c r="B14" s="3">
        <v>13.0</v>
      </c>
      <c r="C14" s="4" t="s">
        <v>36</v>
      </c>
      <c r="D14" s="4" t="s">
        <v>37</v>
      </c>
      <c r="E14" s="4" t="s">
        <v>18</v>
      </c>
      <c r="F14" s="4" t="s">
        <v>38</v>
      </c>
      <c r="G14" s="4" t="str">
        <f t="shared" si="1"/>
        <v>ик</v>
      </c>
      <c r="H14" s="4"/>
    </row>
    <row r="15" ht="15.75" customHeight="1">
      <c r="A15" s="3">
        <v>12.0</v>
      </c>
      <c r="B15" s="3">
        <v>12.0</v>
      </c>
      <c r="C15" s="4" t="s">
        <v>39</v>
      </c>
      <c r="D15" s="4" t="s">
        <v>40</v>
      </c>
      <c r="E15" s="4" t="s">
        <v>14</v>
      </c>
      <c r="F15" s="4" t="s">
        <v>19</v>
      </c>
      <c r="G15" s="4" t="str">
        <f t="shared" si="1"/>
        <v>ок</v>
      </c>
      <c r="H15" s="4"/>
    </row>
    <row r="16" ht="15.75" customHeight="1">
      <c r="A16" s="3">
        <v>11.0</v>
      </c>
      <c r="B16" s="3">
        <v>11.0</v>
      </c>
      <c r="C16" s="4" t="s">
        <v>41</v>
      </c>
      <c r="D16" s="4" t="s">
        <v>30</v>
      </c>
      <c r="E16" s="4" t="s">
        <v>26</v>
      </c>
      <c r="F16" s="4" t="s">
        <v>21</v>
      </c>
      <c r="G16" s="4" t="str">
        <f t="shared" si="1"/>
        <v>ик</v>
      </c>
      <c r="H16" s="4"/>
    </row>
    <row r="17" ht="15.75" customHeight="1">
      <c r="A17" s="3">
        <v>10.0</v>
      </c>
      <c r="B17" s="3">
        <v>10.0</v>
      </c>
      <c r="C17" s="4" t="s">
        <v>42</v>
      </c>
      <c r="D17" s="4" t="s">
        <v>43</v>
      </c>
      <c r="E17" s="4" t="s">
        <v>26</v>
      </c>
      <c r="F17" s="4" t="s">
        <v>44</v>
      </c>
      <c r="G17" s="4" t="str">
        <f t="shared" si="1"/>
        <v>ка</v>
      </c>
      <c r="H17" s="4"/>
    </row>
    <row r="18" ht="15.75" customHeight="1">
      <c r="A18" s="3">
        <v>9.0</v>
      </c>
      <c r="B18" s="3">
        <v>10.0</v>
      </c>
      <c r="C18" s="4" t="s">
        <v>45</v>
      </c>
      <c r="D18" s="4" t="s">
        <v>45</v>
      </c>
      <c r="E18" s="4" t="s">
        <v>26</v>
      </c>
      <c r="F18" s="4" t="s">
        <v>46</v>
      </c>
      <c r="G18" s="4" t="str">
        <f t="shared" si="1"/>
        <v>ек</v>
      </c>
      <c r="H18" s="4"/>
    </row>
    <row r="19" ht="15.75" customHeight="1">
      <c r="A19" s="3">
        <v>9.0</v>
      </c>
      <c r="B19" s="3">
        <v>10.0</v>
      </c>
      <c r="C19" s="4" t="s">
        <v>47</v>
      </c>
      <c r="D19" s="4" t="s">
        <v>48</v>
      </c>
      <c r="E19" s="4" t="s">
        <v>49</v>
      </c>
      <c r="F19" s="4" t="s">
        <v>50</v>
      </c>
      <c r="G19" s="4" t="str">
        <f t="shared" si="1"/>
        <v>ка</v>
      </c>
      <c r="H19" s="4"/>
    </row>
    <row r="20" ht="15.75" customHeight="1">
      <c r="A20" s="3">
        <v>9.0</v>
      </c>
      <c r="B20" s="3">
        <v>10.0</v>
      </c>
      <c r="C20" s="4" t="s">
        <v>51</v>
      </c>
      <c r="D20" s="4" t="s">
        <v>52</v>
      </c>
      <c r="E20" s="4" t="s">
        <v>53</v>
      </c>
      <c r="F20" s="4" t="s">
        <v>50</v>
      </c>
      <c r="G20" s="4" t="str">
        <f t="shared" si="1"/>
        <v>ка</v>
      </c>
      <c r="H20" s="4"/>
    </row>
    <row r="21" ht="15.75" customHeight="1">
      <c r="A21" s="3">
        <v>10.0</v>
      </c>
      <c r="B21" s="3">
        <v>10.0</v>
      </c>
      <c r="C21" s="4" t="s">
        <v>54</v>
      </c>
      <c r="D21" s="4" t="s">
        <v>55</v>
      </c>
      <c r="E21" s="4" t="s">
        <v>56</v>
      </c>
      <c r="F21" s="4" t="s">
        <v>50</v>
      </c>
      <c r="G21" s="4" t="str">
        <f t="shared" si="1"/>
        <v>ка</v>
      </c>
      <c r="H21" s="4"/>
    </row>
    <row r="22" ht="15.75" customHeight="1">
      <c r="A22" s="3">
        <v>2.0</v>
      </c>
      <c r="B22" s="3">
        <v>10.0</v>
      </c>
      <c r="C22" s="4" t="s">
        <v>57</v>
      </c>
      <c r="D22" s="4" t="s">
        <v>58</v>
      </c>
      <c r="E22" s="4" t="s">
        <v>59</v>
      </c>
      <c r="F22" s="4" t="s">
        <v>60</v>
      </c>
      <c r="G22" s="4" t="str">
        <f t="shared" si="1"/>
        <v>ка</v>
      </c>
      <c r="H22" s="4"/>
    </row>
    <row r="23" ht="15.75" customHeight="1">
      <c r="A23" s="3">
        <v>7.0</v>
      </c>
      <c r="B23" s="3">
        <v>9.0</v>
      </c>
      <c r="C23" s="4" t="s">
        <v>61</v>
      </c>
      <c r="D23" s="4" t="s">
        <v>61</v>
      </c>
      <c r="E23" s="4" t="s">
        <v>26</v>
      </c>
      <c r="F23" s="4" t="s">
        <v>62</v>
      </c>
      <c r="G23" s="4" t="str">
        <f t="shared" si="1"/>
        <v>ик</v>
      </c>
      <c r="H23" s="4"/>
    </row>
    <row r="24" ht="15.75" customHeight="1">
      <c r="A24" s="3">
        <v>6.0</v>
      </c>
      <c r="B24" s="3">
        <v>9.0</v>
      </c>
      <c r="C24" s="4" t="s">
        <v>63</v>
      </c>
      <c r="D24" s="4" t="s">
        <v>63</v>
      </c>
      <c r="E24" s="4" t="s">
        <v>64</v>
      </c>
      <c r="F24" s="4" t="s">
        <v>65</v>
      </c>
      <c r="G24" s="4" t="str">
        <f t="shared" si="1"/>
        <v>ек</v>
      </c>
      <c r="H24" s="4"/>
    </row>
    <row r="25" ht="15.75" customHeight="1">
      <c r="A25" s="3">
        <v>9.0</v>
      </c>
      <c r="B25" s="3">
        <v>9.0</v>
      </c>
      <c r="C25" s="4" t="s">
        <v>66</v>
      </c>
      <c r="D25" s="4" t="s">
        <v>67</v>
      </c>
      <c r="E25" s="4" t="s">
        <v>14</v>
      </c>
      <c r="F25" s="4" t="s">
        <v>68</v>
      </c>
      <c r="G25" s="4" t="str">
        <f t="shared" si="1"/>
        <v>ка</v>
      </c>
      <c r="H25" s="4"/>
    </row>
    <row r="26" ht="15.75" customHeight="1">
      <c r="A26" s="3">
        <v>6.0</v>
      </c>
      <c r="B26" s="3">
        <v>9.0</v>
      </c>
      <c r="C26" s="4" t="s">
        <v>69</v>
      </c>
      <c r="D26" s="4" t="s">
        <v>69</v>
      </c>
      <c r="E26" s="4" t="s">
        <v>18</v>
      </c>
      <c r="F26" s="4" t="s">
        <v>65</v>
      </c>
      <c r="G26" s="4" t="str">
        <f t="shared" si="1"/>
        <v>ек</v>
      </c>
      <c r="H26" s="4"/>
    </row>
    <row r="27" ht="15.75" customHeight="1">
      <c r="A27" s="3">
        <v>8.0</v>
      </c>
      <c r="B27" s="3">
        <v>8.0</v>
      </c>
      <c r="C27" s="4" t="s">
        <v>70</v>
      </c>
      <c r="D27" s="4" t="s">
        <v>70</v>
      </c>
      <c r="E27" s="4" t="s">
        <v>26</v>
      </c>
      <c r="F27" s="4" t="s">
        <v>12</v>
      </c>
      <c r="G27" s="4" t="str">
        <f t="shared" si="1"/>
        <v>ок</v>
      </c>
      <c r="H27" s="4"/>
    </row>
    <row r="28" ht="15.75" customHeight="1">
      <c r="A28" s="3">
        <v>8.0</v>
      </c>
      <c r="B28" s="3">
        <v>8.0</v>
      </c>
      <c r="C28" s="4" t="s">
        <v>71</v>
      </c>
      <c r="D28" s="4" t="s">
        <v>72</v>
      </c>
      <c r="E28" s="4" t="s">
        <v>26</v>
      </c>
      <c r="F28" s="4" t="s">
        <v>73</v>
      </c>
      <c r="G28" s="4" t="str">
        <f t="shared" si="1"/>
        <v>ице</v>
      </c>
      <c r="H28" s="4"/>
    </row>
    <row r="29" ht="15.75" customHeight="1">
      <c r="A29" s="3">
        <v>8.0</v>
      </c>
      <c r="B29" s="3">
        <v>8.0</v>
      </c>
      <c r="C29" s="4" t="s">
        <v>74</v>
      </c>
      <c r="D29" s="4" t="s">
        <v>28</v>
      </c>
      <c r="E29" s="4" t="s">
        <v>29</v>
      </c>
      <c r="F29" s="4" t="s">
        <v>19</v>
      </c>
      <c r="G29" s="4" t="str">
        <f t="shared" si="1"/>
        <v>ок</v>
      </c>
      <c r="H29" s="4"/>
    </row>
    <row r="30" ht="15.75" customHeight="1">
      <c r="A30" s="3">
        <v>8.0</v>
      </c>
      <c r="B30" s="3">
        <v>8.0</v>
      </c>
      <c r="C30" s="4" t="s">
        <v>75</v>
      </c>
      <c r="D30" s="4" t="s">
        <v>20</v>
      </c>
      <c r="E30" s="4" t="s">
        <v>14</v>
      </c>
      <c r="F30" s="4" t="s">
        <v>21</v>
      </c>
      <c r="G30" s="4" t="str">
        <f t="shared" si="1"/>
        <v>ик</v>
      </c>
      <c r="H30" s="4"/>
    </row>
    <row r="31" ht="15.75" customHeight="1">
      <c r="A31" s="3">
        <v>8.0</v>
      </c>
      <c r="B31" s="3">
        <v>8.0</v>
      </c>
      <c r="C31" s="4" t="s">
        <v>76</v>
      </c>
      <c r="D31" s="4" t="s">
        <v>77</v>
      </c>
      <c r="E31" s="4" t="s">
        <v>14</v>
      </c>
      <c r="F31" s="4" t="s">
        <v>78</v>
      </c>
      <c r="G31" s="4" t="str">
        <f t="shared" si="1"/>
        <v>ок</v>
      </c>
      <c r="H31" s="4"/>
    </row>
    <row r="32" ht="15.75" customHeight="1">
      <c r="A32" s="3">
        <v>6.0</v>
      </c>
      <c r="B32" s="3">
        <v>7.0</v>
      </c>
      <c r="C32" s="4" t="s">
        <v>79</v>
      </c>
      <c r="D32" s="4" t="s">
        <v>25</v>
      </c>
      <c r="E32" s="4" t="s">
        <v>26</v>
      </c>
      <c r="F32" s="4" t="s">
        <v>9</v>
      </c>
      <c r="G32" s="4" t="str">
        <f t="shared" si="1"/>
        <v>ек</v>
      </c>
      <c r="H32" s="4"/>
    </row>
    <row r="33" ht="15.75" customHeight="1">
      <c r="A33" s="3">
        <v>7.0</v>
      </c>
      <c r="B33" s="3">
        <v>7.0</v>
      </c>
      <c r="C33" s="4" t="s">
        <v>80</v>
      </c>
      <c r="D33" s="4" t="s">
        <v>81</v>
      </c>
      <c r="E33" s="4" t="s">
        <v>26</v>
      </c>
      <c r="F33" s="4" t="s">
        <v>82</v>
      </c>
      <c r="G33" s="4" t="str">
        <f t="shared" si="1"/>
        <v>ко</v>
      </c>
      <c r="H33" s="4"/>
    </row>
    <row r="34" ht="15.75" customHeight="1">
      <c r="A34" s="3">
        <v>7.0</v>
      </c>
      <c r="B34" s="3">
        <v>7.0</v>
      </c>
      <c r="C34" s="4" t="s">
        <v>83</v>
      </c>
      <c r="D34" s="4" t="s">
        <v>72</v>
      </c>
      <c r="E34" s="4" t="s">
        <v>26</v>
      </c>
      <c r="F34" s="4" t="s">
        <v>73</v>
      </c>
      <c r="G34" s="4" t="str">
        <f t="shared" si="1"/>
        <v>ице</v>
      </c>
      <c r="H34" s="4"/>
    </row>
    <row r="35" ht="15.75" customHeight="1">
      <c r="A35" s="3">
        <v>7.0</v>
      </c>
      <c r="B35" s="3">
        <v>7.0</v>
      </c>
      <c r="C35" s="4" t="s">
        <v>84</v>
      </c>
      <c r="D35" s="4" t="s">
        <v>85</v>
      </c>
      <c r="E35" s="4" t="s">
        <v>64</v>
      </c>
      <c r="F35" s="4" t="s">
        <v>24</v>
      </c>
      <c r="G35" s="4" t="str">
        <f t="shared" si="1"/>
        <v>ка</v>
      </c>
      <c r="H35" s="4"/>
    </row>
    <row r="36" ht="15.75" customHeight="1">
      <c r="A36" s="3">
        <v>7.0</v>
      </c>
      <c r="B36" s="3">
        <v>7.0</v>
      </c>
      <c r="C36" s="4" t="s">
        <v>86</v>
      </c>
      <c r="D36" s="4" t="s">
        <v>23</v>
      </c>
      <c r="E36" s="4" t="s">
        <v>11</v>
      </c>
      <c r="F36" s="4" t="s">
        <v>24</v>
      </c>
      <c r="G36" s="4" t="str">
        <f t="shared" si="1"/>
        <v>ка</v>
      </c>
      <c r="H36" s="4"/>
    </row>
    <row r="37" ht="15.75" customHeight="1">
      <c r="A37" s="3">
        <v>7.0</v>
      </c>
      <c r="B37" s="3">
        <v>7.0</v>
      </c>
      <c r="C37" s="4" t="s">
        <v>87</v>
      </c>
      <c r="D37" s="4" t="s">
        <v>88</v>
      </c>
      <c r="E37" s="4" t="s">
        <v>14</v>
      </c>
      <c r="F37" s="4" t="s">
        <v>73</v>
      </c>
      <c r="G37" s="4" t="str">
        <f t="shared" si="1"/>
        <v>ице</v>
      </c>
      <c r="H37" s="4"/>
    </row>
    <row r="38" ht="15.75" customHeight="1">
      <c r="A38" s="3">
        <v>6.0</v>
      </c>
      <c r="B38" s="3">
        <v>6.0</v>
      </c>
      <c r="C38" s="4" t="s">
        <v>89</v>
      </c>
      <c r="D38" s="4" t="s">
        <v>90</v>
      </c>
      <c r="E38" s="4" t="s">
        <v>26</v>
      </c>
      <c r="F38" s="4" t="s">
        <v>91</v>
      </c>
      <c r="G38" s="4" t="str">
        <f t="shared" si="1"/>
        <v>ка</v>
      </c>
      <c r="H38" s="4"/>
    </row>
    <row r="39" ht="15.75" customHeight="1">
      <c r="A39" s="3">
        <v>6.0</v>
      </c>
      <c r="B39" s="3">
        <v>6.0</v>
      </c>
      <c r="C39" s="4" t="s">
        <v>92</v>
      </c>
      <c r="D39" s="4" t="s">
        <v>45</v>
      </c>
      <c r="E39" s="4" t="s">
        <v>26</v>
      </c>
      <c r="F39" s="4" t="s">
        <v>46</v>
      </c>
      <c r="G39" s="4" t="str">
        <f t="shared" si="1"/>
        <v>ек</v>
      </c>
      <c r="H39" s="4"/>
    </row>
    <row r="40" ht="15.75" customHeight="1">
      <c r="A40" s="3">
        <v>6.0</v>
      </c>
      <c r="B40" s="3">
        <v>6.0</v>
      </c>
      <c r="C40" s="4" t="s">
        <v>93</v>
      </c>
      <c r="D40" s="4" t="s">
        <v>45</v>
      </c>
      <c r="E40" s="4" t="s">
        <v>26</v>
      </c>
      <c r="F40" s="4" t="s">
        <v>46</v>
      </c>
      <c r="G40" s="4" t="str">
        <f t="shared" si="1"/>
        <v>ек</v>
      </c>
      <c r="H40" s="4"/>
    </row>
    <row r="41" ht="15.75" customHeight="1">
      <c r="A41" s="3">
        <v>6.0</v>
      </c>
      <c r="B41" s="3">
        <v>6.0</v>
      </c>
      <c r="C41" s="4" t="s">
        <v>94</v>
      </c>
      <c r="D41" s="4" t="s">
        <v>43</v>
      </c>
      <c r="E41" s="4" t="s">
        <v>26</v>
      </c>
      <c r="F41" s="4" t="s">
        <v>44</v>
      </c>
      <c r="G41" s="4" t="str">
        <f t="shared" si="1"/>
        <v>ка</v>
      </c>
      <c r="H41" s="4"/>
    </row>
    <row r="42" ht="15.75" customHeight="1">
      <c r="A42" s="3">
        <v>6.0</v>
      </c>
      <c r="B42" s="3">
        <v>6.0</v>
      </c>
      <c r="C42" s="4" t="s">
        <v>95</v>
      </c>
      <c r="D42" s="4" t="s">
        <v>96</v>
      </c>
      <c r="E42" s="4" t="s">
        <v>97</v>
      </c>
      <c r="F42" s="4" t="s">
        <v>9</v>
      </c>
      <c r="G42" s="4" t="str">
        <f t="shared" si="1"/>
        <v>ек</v>
      </c>
      <c r="H42" s="4"/>
    </row>
    <row r="43" ht="15.75" customHeight="1">
      <c r="A43" s="3">
        <v>1.0</v>
      </c>
      <c r="B43" s="3">
        <v>6.0</v>
      </c>
      <c r="C43" s="4" t="s">
        <v>98</v>
      </c>
      <c r="D43" s="4" t="s">
        <v>98</v>
      </c>
      <c r="E43" s="4" t="s">
        <v>53</v>
      </c>
      <c r="F43" s="4" t="s">
        <v>21</v>
      </c>
      <c r="G43" s="4" t="str">
        <f t="shared" si="1"/>
        <v>ик</v>
      </c>
      <c r="H43" s="4"/>
    </row>
    <row r="44" ht="15.75" customHeight="1">
      <c r="A44" s="3">
        <v>6.0</v>
      </c>
      <c r="B44" s="3">
        <v>6.0</v>
      </c>
      <c r="C44" s="4" t="s">
        <v>99</v>
      </c>
      <c r="D44" s="4" t="s">
        <v>23</v>
      </c>
      <c r="E44" s="4" t="s">
        <v>11</v>
      </c>
      <c r="F44" s="4" t="s">
        <v>24</v>
      </c>
      <c r="G44" s="4" t="str">
        <f t="shared" si="1"/>
        <v>ка</v>
      </c>
      <c r="H44" s="4"/>
    </row>
    <row r="45" ht="15.75" customHeight="1">
      <c r="A45" s="3">
        <v>6.0</v>
      </c>
      <c r="B45" s="3">
        <v>6.0</v>
      </c>
      <c r="C45" s="4" t="s">
        <v>100</v>
      </c>
      <c r="D45" s="4" t="s">
        <v>101</v>
      </c>
      <c r="E45" s="4" t="s">
        <v>14</v>
      </c>
      <c r="F45" s="4" t="s">
        <v>102</v>
      </c>
      <c r="G45" s="4" t="str">
        <f t="shared" si="1"/>
        <v>ка</v>
      </c>
      <c r="H45" s="4"/>
    </row>
    <row r="46" ht="15.75" customHeight="1">
      <c r="A46" s="3">
        <v>6.0</v>
      </c>
      <c r="B46" s="3">
        <v>6.0</v>
      </c>
      <c r="C46" s="4" t="s">
        <v>77</v>
      </c>
      <c r="D46" s="4" t="s">
        <v>77</v>
      </c>
      <c r="E46" s="4" t="s">
        <v>14</v>
      </c>
      <c r="F46" s="4" t="s">
        <v>78</v>
      </c>
      <c r="G46" s="4" t="str">
        <f t="shared" si="1"/>
        <v>ок</v>
      </c>
      <c r="H46" s="4"/>
    </row>
    <row r="47" ht="15.75" customHeight="1">
      <c r="A47" s="3">
        <v>4.0</v>
      </c>
      <c r="B47" s="3">
        <v>6.0</v>
      </c>
      <c r="C47" s="4" t="s">
        <v>103</v>
      </c>
      <c r="D47" s="4" t="s">
        <v>20</v>
      </c>
      <c r="E47" s="4" t="s">
        <v>14</v>
      </c>
      <c r="F47" s="4" t="s">
        <v>21</v>
      </c>
      <c r="G47" s="4" t="str">
        <f t="shared" si="1"/>
        <v>ик</v>
      </c>
      <c r="H47" s="4"/>
    </row>
    <row r="48" ht="15.75" customHeight="1">
      <c r="A48" s="3">
        <v>4.0</v>
      </c>
      <c r="B48" s="3">
        <v>6.0</v>
      </c>
      <c r="C48" s="4" t="s">
        <v>104</v>
      </c>
      <c r="D48" s="4" t="s">
        <v>105</v>
      </c>
      <c r="E48" s="4" t="s">
        <v>56</v>
      </c>
      <c r="F48" s="4" t="s">
        <v>19</v>
      </c>
      <c r="G48" s="4" t="str">
        <f t="shared" si="1"/>
        <v>ок</v>
      </c>
      <c r="H48" s="4"/>
    </row>
    <row r="49" ht="15.75" customHeight="1">
      <c r="A49" s="3">
        <v>5.0</v>
      </c>
      <c r="B49" s="3">
        <v>6.0</v>
      </c>
      <c r="C49" s="4" t="s">
        <v>106</v>
      </c>
      <c r="D49" s="4" t="s">
        <v>17</v>
      </c>
      <c r="E49" s="4" t="s">
        <v>18</v>
      </c>
      <c r="F49" s="4" t="s">
        <v>19</v>
      </c>
      <c r="G49" s="4" t="str">
        <f t="shared" si="1"/>
        <v>ок</v>
      </c>
      <c r="H49" s="4"/>
    </row>
    <row r="50" ht="15.75" customHeight="1">
      <c r="A50" s="3">
        <v>5.0</v>
      </c>
      <c r="B50" s="3">
        <v>5.0</v>
      </c>
      <c r="C50" s="4" t="s">
        <v>107</v>
      </c>
      <c r="D50" s="4" t="s">
        <v>43</v>
      </c>
      <c r="E50" s="4" t="s">
        <v>26</v>
      </c>
      <c r="F50" s="4" t="s">
        <v>44</v>
      </c>
      <c r="G50" s="4" t="str">
        <f t="shared" si="1"/>
        <v>ка</v>
      </c>
      <c r="H50" s="4"/>
    </row>
    <row r="51" ht="15.75" customHeight="1">
      <c r="A51" s="3">
        <v>5.0</v>
      </c>
      <c r="B51" s="3">
        <v>5.0</v>
      </c>
      <c r="C51" s="4" t="s">
        <v>108</v>
      </c>
      <c r="D51" s="4" t="s">
        <v>109</v>
      </c>
      <c r="E51" s="4" t="s">
        <v>26</v>
      </c>
      <c r="F51" s="4" t="s">
        <v>110</v>
      </c>
      <c r="G51" s="4" t="str">
        <f t="shared" si="1"/>
        <v>ка</v>
      </c>
      <c r="H51" s="4"/>
    </row>
    <row r="52" ht="15.75" customHeight="1">
      <c r="A52" s="3">
        <v>2.0</v>
      </c>
      <c r="B52" s="3">
        <v>5.0</v>
      </c>
      <c r="C52" s="4" t="s">
        <v>111</v>
      </c>
      <c r="D52" s="4" t="s">
        <v>111</v>
      </c>
      <c r="E52" s="4" t="s">
        <v>26</v>
      </c>
      <c r="F52" s="4" t="s">
        <v>112</v>
      </c>
      <c r="G52" s="4" t="str">
        <f t="shared" si="1"/>
        <v>ик</v>
      </c>
      <c r="H52" s="4"/>
    </row>
    <row r="53" ht="15.75" customHeight="1">
      <c r="A53" s="3">
        <v>5.0</v>
      </c>
      <c r="B53" s="3">
        <v>5.0</v>
      </c>
      <c r="C53" s="4" t="s">
        <v>113</v>
      </c>
      <c r="D53" s="4" t="s">
        <v>25</v>
      </c>
      <c r="E53" s="4" t="s">
        <v>26</v>
      </c>
      <c r="F53" s="4" t="s">
        <v>9</v>
      </c>
      <c r="G53" s="4" t="str">
        <f t="shared" si="1"/>
        <v>ек</v>
      </c>
      <c r="H53" s="4"/>
    </row>
    <row r="54" ht="15.75" customHeight="1">
      <c r="A54" s="3">
        <v>4.0</v>
      </c>
      <c r="B54" s="3">
        <v>5.0</v>
      </c>
      <c r="C54" s="4" t="s">
        <v>114</v>
      </c>
      <c r="D54" s="4" t="s">
        <v>115</v>
      </c>
      <c r="E54" s="4" t="s">
        <v>26</v>
      </c>
      <c r="F54" s="4" t="s">
        <v>116</v>
      </c>
      <c r="G54" s="4" t="str">
        <f t="shared" si="1"/>
        <v>ка</v>
      </c>
      <c r="H54" s="4"/>
    </row>
    <row r="55" ht="15.75" customHeight="1">
      <c r="A55" s="3">
        <v>4.0</v>
      </c>
      <c r="B55" s="3">
        <v>5.0</v>
      </c>
      <c r="C55" s="4" t="s">
        <v>117</v>
      </c>
      <c r="D55" s="4" t="s">
        <v>117</v>
      </c>
      <c r="E55" s="4" t="s">
        <v>29</v>
      </c>
      <c r="F55" s="4" t="s">
        <v>46</v>
      </c>
      <c r="G55" s="4" t="str">
        <f t="shared" si="1"/>
        <v>ек</v>
      </c>
      <c r="H55" s="4"/>
    </row>
    <row r="56" ht="15.75" customHeight="1">
      <c r="A56" s="3">
        <v>5.0</v>
      </c>
      <c r="B56" s="3">
        <v>5.0</v>
      </c>
      <c r="C56" s="4" t="s">
        <v>118</v>
      </c>
      <c r="D56" s="4" t="s">
        <v>119</v>
      </c>
      <c r="E56" s="4" t="s">
        <v>29</v>
      </c>
      <c r="F56" s="4" t="s">
        <v>9</v>
      </c>
      <c r="G56" s="4" t="str">
        <f t="shared" si="1"/>
        <v>ек</v>
      </c>
      <c r="H56" s="4"/>
    </row>
    <row r="57" ht="15.75" customHeight="1">
      <c r="A57" s="3">
        <v>3.0</v>
      </c>
      <c r="B57" s="3">
        <v>5.0</v>
      </c>
      <c r="C57" s="4" t="s">
        <v>120</v>
      </c>
      <c r="D57" s="4" t="s">
        <v>121</v>
      </c>
      <c r="E57" s="4" t="s">
        <v>97</v>
      </c>
      <c r="F57" s="4" t="s">
        <v>50</v>
      </c>
      <c r="G57" s="4" t="str">
        <f t="shared" si="1"/>
        <v>ка</v>
      </c>
      <c r="H57" s="4"/>
    </row>
    <row r="58" ht="15.75" customHeight="1">
      <c r="A58" s="3">
        <v>4.0</v>
      </c>
      <c r="B58" s="3">
        <v>5.0</v>
      </c>
      <c r="C58" s="4" t="s">
        <v>122</v>
      </c>
      <c r="D58" s="4" t="s">
        <v>122</v>
      </c>
      <c r="E58" s="4" t="s">
        <v>97</v>
      </c>
      <c r="F58" s="4" t="s">
        <v>123</v>
      </c>
      <c r="G58" s="4" t="str">
        <f t="shared" si="1"/>
        <v>ек</v>
      </c>
      <c r="H58" s="4"/>
    </row>
    <row r="59" ht="15.75" customHeight="1">
      <c r="A59" s="3">
        <v>5.0</v>
      </c>
      <c r="B59" s="3">
        <v>5.0</v>
      </c>
      <c r="C59" s="4" t="s">
        <v>124</v>
      </c>
      <c r="D59" s="4" t="s">
        <v>124</v>
      </c>
      <c r="E59" s="4" t="s">
        <v>97</v>
      </c>
      <c r="F59" s="4" t="s">
        <v>125</v>
      </c>
      <c r="G59" s="4" t="str">
        <f t="shared" si="1"/>
        <v>ик</v>
      </c>
      <c r="H59" s="4"/>
    </row>
    <row r="60" ht="15.75" customHeight="1">
      <c r="A60" s="3">
        <v>4.0</v>
      </c>
      <c r="B60" s="3">
        <v>5.0</v>
      </c>
      <c r="C60" s="4" t="s">
        <v>96</v>
      </c>
      <c r="D60" s="4" t="s">
        <v>96</v>
      </c>
      <c r="E60" s="4" t="s">
        <v>97</v>
      </c>
      <c r="F60" s="4" t="s">
        <v>9</v>
      </c>
      <c r="G60" s="4" t="str">
        <f t="shared" si="1"/>
        <v>ек</v>
      </c>
      <c r="H60" s="4"/>
    </row>
    <row r="61" ht="15.75" customHeight="1">
      <c r="A61" s="3">
        <v>4.0</v>
      </c>
      <c r="B61" s="3">
        <v>5.0</v>
      </c>
      <c r="C61" s="4" t="s">
        <v>126</v>
      </c>
      <c r="D61" s="4" t="s">
        <v>121</v>
      </c>
      <c r="E61" s="4" t="s">
        <v>97</v>
      </c>
      <c r="F61" s="4" t="s">
        <v>50</v>
      </c>
      <c r="G61" s="4" t="str">
        <f t="shared" si="1"/>
        <v>ка</v>
      </c>
      <c r="H61" s="4"/>
    </row>
    <row r="62" ht="15.75" customHeight="1">
      <c r="A62" s="3">
        <v>2.0</v>
      </c>
      <c r="B62" s="3">
        <v>5.0</v>
      </c>
      <c r="C62" s="4" t="s">
        <v>127</v>
      </c>
      <c r="D62" s="4" t="s">
        <v>98</v>
      </c>
      <c r="E62" s="4" t="s">
        <v>53</v>
      </c>
      <c r="F62" s="4" t="s">
        <v>21</v>
      </c>
      <c r="G62" s="4" t="str">
        <f t="shared" si="1"/>
        <v>ик</v>
      </c>
      <c r="H62" s="4"/>
    </row>
    <row r="63" ht="15.75" customHeight="1">
      <c r="A63" s="3">
        <v>5.0</v>
      </c>
      <c r="B63" s="3">
        <v>5.0</v>
      </c>
      <c r="C63" s="4" t="s">
        <v>128</v>
      </c>
      <c r="D63" s="4" t="s">
        <v>128</v>
      </c>
      <c r="E63" s="4" t="s">
        <v>11</v>
      </c>
      <c r="F63" s="4" t="s">
        <v>65</v>
      </c>
      <c r="G63" s="4" t="str">
        <f t="shared" si="1"/>
        <v>ек</v>
      </c>
      <c r="H63" s="4"/>
    </row>
    <row r="64" ht="15.75" customHeight="1">
      <c r="A64" s="3">
        <v>5.0</v>
      </c>
      <c r="B64" s="3">
        <v>5.0</v>
      </c>
      <c r="C64" s="4" t="s">
        <v>129</v>
      </c>
      <c r="D64" s="4" t="s">
        <v>40</v>
      </c>
      <c r="E64" s="4" t="s">
        <v>14</v>
      </c>
      <c r="F64" s="4" t="s">
        <v>19</v>
      </c>
      <c r="G64" s="4" t="str">
        <f t="shared" si="1"/>
        <v>ок</v>
      </c>
      <c r="H64" s="4"/>
    </row>
    <row r="65" ht="15.75" customHeight="1">
      <c r="A65" s="3">
        <v>4.0</v>
      </c>
      <c r="B65" s="3">
        <v>5.0</v>
      </c>
      <c r="C65" s="4" t="s">
        <v>130</v>
      </c>
      <c r="D65" s="4" t="s">
        <v>20</v>
      </c>
      <c r="E65" s="4" t="s">
        <v>14</v>
      </c>
      <c r="F65" s="4" t="s">
        <v>21</v>
      </c>
      <c r="G65" s="4" t="str">
        <f t="shared" si="1"/>
        <v>ик</v>
      </c>
      <c r="H65" s="4"/>
    </row>
    <row r="66" ht="15.75" customHeight="1">
      <c r="A66" s="3">
        <v>4.0</v>
      </c>
      <c r="B66" s="3">
        <v>5.0</v>
      </c>
      <c r="C66" s="4" t="s">
        <v>131</v>
      </c>
      <c r="D66" s="4" t="s">
        <v>132</v>
      </c>
      <c r="E66" s="4" t="s">
        <v>14</v>
      </c>
      <c r="F66" s="4" t="s">
        <v>133</v>
      </c>
      <c r="G66" s="4" t="str">
        <f t="shared" si="1"/>
        <v>ка</v>
      </c>
      <c r="H66" s="4"/>
    </row>
    <row r="67" ht="15.75" customHeight="1">
      <c r="A67" s="3">
        <v>5.0</v>
      </c>
      <c r="B67" s="3">
        <v>5.0</v>
      </c>
      <c r="C67" s="4" t="s">
        <v>134</v>
      </c>
      <c r="D67" s="4" t="s">
        <v>134</v>
      </c>
      <c r="E67" s="4" t="s">
        <v>56</v>
      </c>
      <c r="F67" s="4" t="s">
        <v>123</v>
      </c>
      <c r="G67" s="4" t="str">
        <f t="shared" si="1"/>
        <v>ек</v>
      </c>
      <c r="H67" s="4"/>
    </row>
    <row r="68" ht="15.75" customHeight="1">
      <c r="A68" s="3">
        <v>5.0</v>
      </c>
      <c r="B68" s="3">
        <v>5.0</v>
      </c>
      <c r="C68" s="4" t="s">
        <v>135</v>
      </c>
      <c r="D68" s="4" t="s">
        <v>136</v>
      </c>
      <c r="E68" s="4" t="s">
        <v>18</v>
      </c>
      <c r="F68" s="4" t="s">
        <v>24</v>
      </c>
      <c r="G68" s="4" t="str">
        <f t="shared" si="1"/>
        <v>ка</v>
      </c>
      <c r="H68" s="4"/>
    </row>
    <row r="69" ht="15.75" customHeight="1">
      <c r="A69" s="3">
        <v>4.0</v>
      </c>
      <c r="B69" s="3">
        <v>5.0</v>
      </c>
      <c r="C69" s="4" t="s">
        <v>137</v>
      </c>
      <c r="D69" s="4" t="s">
        <v>138</v>
      </c>
      <c r="E69" s="4" t="s">
        <v>18</v>
      </c>
      <c r="F69" s="4" t="s">
        <v>139</v>
      </c>
      <c r="G69" s="4" t="str">
        <f t="shared" si="1"/>
        <v>ка</v>
      </c>
      <c r="H69" s="4"/>
    </row>
    <row r="70" ht="15.75" customHeight="1">
      <c r="A70" s="3">
        <v>4.0</v>
      </c>
      <c r="B70" s="3">
        <v>4.0</v>
      </c>
      <c r="C70" s="4" t="s">
        <v>140</v>
      </c>
      <c r="D70" s="4" t="s">
        <v>7</v>
      </c>
      <c r="E70" s="4" t="s">
        <v>8</v>
      </c>
      <c r="F70" s="4" t="s">
        <v>9</v>
      </c>
      <c r="G70" s="4" t="str">
        <f t="shared" si="1"/>
        <v>ек</v>
      </c>
      <c r="H70" s="4"/>
    </row>
    <row r="71" ht="15.75" customHeight="1">
      <c r="A71" s="3">
        <v>2.0</v>
      </c>
      <c r="B71" s="3">
        <v>4.0</v>
      </c>
      <c r="C71" s="4" t="s">
        <v>141</v>
      </c>
      <c r="D71" s="4" t="s">
        <v>7</v>
      </c>
      <c r="E71" s="4" t="s">
        <v>8</v>
      </c>
      <c r="F71" s="4" t="s">
        <v>9</v>
      </c>
      <c r="G71" s="4" t="str">
        <f t="shared" si="1"/>
        <v>ек</v>
      </c>
      <c r="H71" s="4"/>
    </row>
    <row r="72" ht="15.75" customHeight="1">
      <c r="A72" s="3">
        <v>4.0</v>
      </c>
      <c r="B72" s="3">
        <v>4.0</v>
      </c>
      <c r="C72" s="4" t="s">
        <v>142</v>
      </c>
      <c r="D72" s="4" t="s">
        <v>143</v>
      </c>
      <c r="E72" s="4" t="s">
        <v>26</v>
      </c>
      <c r="F72" s="4" t="s">
        <v>50</v>
      </c>
      <c r="G72" s="4" t="str">
        <f t="shared" si="1"/>
        <v>ка</v>
      </c>
      <c r="H72" s="4"/>
    </row>
    <row r="73" ht="15.75" customHeight="1">
      <c r="A73" s="3">
        <v>3.0</v>
      </c>
      <c r="B73" s="3">
        <v>4.0</v>
      </c>
      <c r="C73" s="4" t="s">
        <v>144</v>
      </c>
      <c r="D73" s="4" t="s">
        <v>144</v>
      </c>
      <c r="E73" s="4" t="s">
        <v>26</v>
      </c>
      <c r="F73" s="4" t="s">
        <v>145</v>
      </c>
      <c r="G73" s="4" t="str">
        <f t="shared" si="1"/>
        <v>ок</v>
      </c>
      <c r="H73" s="4"/>
    </row>
    <row r="74" ht="15.75" customHeight="1">
      <c r="A74" s="3">
        <v>4.0</v>
      </c>
      <c r="B74" s="3">
        <v>4.0</v>
      </c>
      <c r="C74" s="4" t="s">
        <v>146</v>
      </c>
      <c r="D74" s="4" t="s">
        <v>30</v>
      </c>
      <c r="E74" s="4" t="s">
        <v>26</v>
      </c>
      <c r="F74" s="4" t="s">
        <v>21</v>
      </c>
      <c r="G74" s="4" t="str">
        <f t="shared" si="1"/>
        <v>ик</v>
      </c>
      <c r="H74" s="4"/>
    </row>
    <row r="75" ht="15.75" customHeight="1">
      <c r="A75" s="3">
        <v>4.0</v>
      </c>
      <c r="B75" s="3">
        <v>4.0</v>
      </c>
      <c r="C75" s="4" t="s">
        <v>147</v>
      </c>
      <c r="D75" s="4" t="s">
        <v>43</v>
      </c>
      <c r="E75" s="4" t="s">
        <v>26</v>
      </c>
      <c r="F75" s="4" t="s">
        <v>44</v>
      </c>
      <c r="G75" s="4" t="str">
        <f t="shared" si="1"/>
        <v>ка</v>
      </c>
      <c r="H75" s="4"/>
    </row>
    <row r="76" ht="15.75" customHeight="1">
      <c r="A76" s="3">
        <v>4.0</v>
      </c>
      <c r="B76" s="3">
        <v>4.0</v>
      </c>
      <c r="C76" s="4" t="s">
        <v>148</v>
      </c>
      <c r="D76" s="4" t="s">
        <v>25</v>
      </c>
      <c r="E76" s="4" t="s">
        <v>26</v>
      </c>
      <c r="F76" s="4" t="s">
        <v>9</v>
      </c>
      <c r="G76" s="4" t="str">
        <f t="shared" si="1"/>
        <v>ек</v>
      </c>
      <c r="H76" s="4"/>
    </row>
    <row r="77" ht="15.75" customHeight="1">
      <c r="A77" s="3">
        <v>4.0</v>
      </c>
      <c r="B77" s="3">
        <v>4.0</v>
      </c>
      <c r="C77" s="4" t="s">
        <v>149</v>
      </c>
      <c r="D77" s="4" t="s">
        <v>150</v>
      </c>
      <c r="E77" s="4" t="s">
        <v>29</v>
      </c>
      <c r="F77" s="4" t="s">
        <v>73</v>
      </c>
      <c r="G77" s="4" t="str">
        <f t="shared" si="1"/>
        <v>ице</v>
      </c>
      <c r="H77" s="4"/>
    </row>
    <row r="78" ht="15.75" customHeight="1">
      <c r="A78" s="3">
        <v>4.0</v>
      </c>
      <c r="B78" s="3">
        <v>4.0</v>
      </c>
      <c r="C78" s="4" t="s">
        <v>151</v>
      </c>
      <c r="D78" s="4" t="s">
        <v>151</v>
      </c>
      <c r="E78" s="4" t="s">
        <v>97</v>
      </c>
      <c r="F78" s="4" t="s">
        <v>21</v>
      </c>
      <c r="G78" s="4" t="str">
        <f t="shared" si="1"/>
        <v>ик</v>
      </c>
      <c r="H78" s="4"/>
    </row>
    <row r="79" ht="15.75" customHeight="1">
      <c r="A79" s="3">
        <v>4.0</v>
      </c>
      <c r="B79" s="3">
        <v>4.0</v>
      </c>
      <c r="C79" s="4" t="s">
        <v>152</v>
      </c>
      <c r="D79" s="4" t="s">
        <v>153</v>
      </c>
      <c r="E79" s="4" t="s">
        <v>49</v>
      </c>
      <c r="F79" s="4" t="s">
        <v>154</v>
      </c>
      <c r="G79" s="4" t="str">
        <f t="shared" si="1"/>
        <v>ка</v>
      </c>
      <c r="H79" s="4"/>
    </row>
    <row r="80" ht="15.75" customHeight="1">
      <c r="A80" s="3">
        <v>4.0</v>
      </c>
      <c r="B80" s="3">
        <v>4.0</v>
      </c>
      <c r="C80" s="4" t="s">
        <v>155</v>
      </c>
      <c r="D80" s="4" t="s">
        <v>155</v>
      </c>
      <c r="E80" s="4" t="s">
        <v>53</v>
      </c>
      <c r="F80" s="4" t="s">
        <v>46</v>
      </c>
      <c r="G80" s="4" t="str">
        <f t="shared" si="1"/>
        <v>ек</v>
      </c>
      <c r="H80" s="4"/>
    </row>
    <row r="81" ht="15.75" customHeight="1">
      <c r="A81" s="3">
        <v>3.0</v>
      </c>
      <c r="B81" s="3">
        <v>4.0</v>
      </c>
      <c r="C81" s="4" t="s">
        <v>156</v>
      </c>
      <c r="D81" s="4" t="s">
        <v>157</v>
      </c>
      <c r="E81" s="4" t="s">
        <v>53</v>
      </c>
      <c r="F81" s="4" t="s">
        <v>158</v>
      </c>
      <c r="G81" s="4" t="str">
        <f t="shared" si="1"/>
        <v>ик</v>
      </c>
      <c r="H81" s="4"/>
    </row>
    <row r="82" ht="15.75" customHeight="1">
      <c r="A82" s="3">
        <v>4.0</v>
      </c>
      <c r="B82" s="3">
        <v>4.0</v>
      </c>
      <c r="C82" s="4" t="s">
        <v>159</v>
      </c>
      <c r="D82" s="4" t="s">
        <v>160</v>
      </c>
      <c r="E82" s="4" t="s">
        <v>53</v>
      </c>
      <c r="F82" s="4" t="s">
        <v>161</v>
      </c>
      <c r="G82" s="4" t="str">
        <f t="shared" si="1"/>
        <v>ка</v>
      </c>
      <c r="H82" s="4"/>
    </row>
    <row r="83" ht="15.75" customHeight="1">
      <c r="A83" s="3">
        <v>3.0</v>
      </c>
      <c r="B83" s="3">
        <v>4.0</v>
      </c>
      <c r="C83" s="4" t="s">
        <v>162</v>
      </c>
      <c r="D83" s="4" t="s">
        <v>163</v>
      </c>
      <c r="E83" s="4" t="s">
        <v>164</v>
      </c>
      <c r="F83" s="4" t="s">
        <v>68</v>
      </c>
      <c r="G83" s="4" t="str">
        <f t="shared" si="1"/>
        <v>ка</v>
      </c>
      <c r="H83" s="4"/>
    </row>
    <row r="84" ht="15.75" customHeight="1">
      <c r="A84" s="3">
        <v>3.0</v>
      </c>
      <c r="B84" s="3">
        <v>4.0</v>
      </c>
      <c r="C84" s="4" t="s">
        <v>165</v>
      </c>
      <c r="D84" s="4" t="s">
        <v>166</v>
      </c>
      <c r="E84" s="4" t="s">
        <v>167</v>
      </c>
      <c r="F84" s="4" t="s">
        <v>73</v>
      </c>
      <c r="G84" s="4" t="str">
        <f t="shared" si="1"/>
        <v>ице</v>
      </c>
      <c r="H84" s="4"/>
    </row>
    <row r="85" ht="15.75" customHeight="1">
      <c r="A85" s="3">
        <v>4.0</v>
      </c>
      <c r="B85" s="3">
        <v>4.0</v>
      </c>
      <c r="C85" s="4" t="s">
        <v>168</v>
      </c>
      <c r="D85" s="4" t="s">
        <v>169</v>
      </c>
      <c r="E85" s="4" t="s">
        <v>64</v>
      </c>
      <c r="F85" s="4" t="s">
        <v>91</v>
      </c>
      <c r="G85" s="4" t="str">
        <f t="shared" si="1"/>
        <v>ка</v>
      </c>
      <c r="H85" s="4"/>
    </row>
    <row r="86" ht="15.75" customHeight="1">
      <c r="A86" s="3">
        <v>4.0</v>
      </c>
      <c r="B86" s="3">
        <v>4.0</v>
      </c>
      <c r="C86" s="4" t="s">
        <v>170</v>
      </c>
      <c r="D86" s="4" t="s">
        <v>171</v>
      </c>
      <c r="E86" s="4" t="s">
        <v>172</v>
      </c>
      <c r="F86" s="4" t="s">
        <v>19</v>
      </c>
      <c r="G86" s="4" t="str">
        <f t="shared" si="1"/>
        <v>ок</v>
      </c>
      <c r="H86" s="4"/>
    </row>
    <row r="87" ht="15.75" customHeight="1">
      <c r="A87" s="3">
        <v>4.0</v>
      </c>
      <c r="B87" s="3">
        <v>4.0</v>
      </c>
      <c r="C87" s="4" t="s">
        <v>173</v>
      </c>
      <c r="D87" s="4" t="s">
        <v>174</v>
      </c>
      <c r="E87" s="4" t="s">
        <v>11</v>
      </c>
      <c r="F87" s="4" t="s">
        <v>175</v>
      </c>
      <c r="G87" s="4" t="str">
        <f t="shared" si="1"/>
        <v>ик</v>
      </c>
      <c r="H87" s="4"/>
    </row>
    <row r="88" ht="15.75" customHeight="1">
      <c r="A88" s="3">
        <v>4.0</v>
      </c>
      <c r="B88" s="3">
        <v>4.0</v>
      </c>
      <c r="C88" s="4" t="s">
        <v>176</v>
      </c>
      <c r="D88" s="4" t="s">
        <v>10</v>
      </c>
      <c r="E88" s="4" t="s">
        <v>11</v>
      </c>
      <c r="F88" s="4" t="s">
        <v>12</v>
      </c>
      <c r="G88" s="4" t="str">
        <f t="shared" si="1"/>
        <v>ок</v>
      </c>
      <c r="H88" s="4"/>
    </row>
    <row r="89" ht="15.75" customHeight="1">
      <c r="A89" s="3">
        <v>4.0</v>
      </c>
      <c r="B89" s="3">
        <v>4.0</v>
      </c>
      <c r="C89" s="4" t="s">
        <v>177</v>
      </c>
      <c r="D89" s="4" t="s">
        <v>20</v>
      </c>
      <c r="E89" s="4" t="s">
        <v>14</v>
      </c>
      <c r="F89" s="4" t="s">
        <v>21</v>
      </c>
      <c r="G89" s="4" t="str">
        <f t="shared" si="1"/>
        <v>ик</v>
      </c>
      <c r="H89" s="4"/>
    </row>
    <row r="90" ht="15.75" customHeight="1">
      <c r="A90" s="3">
        <v>4.0</v>
      </c>
      <c r="B90" s="3">
        <v>4.0</v>
      </c>
      <c r="C90" s="4" t="s">
        <v>178</v>
      </c>
      <c r="D90" s="4" t="s">
        <v>178</v>
      </c>
      <c r="E90" s="4" t="s">
        <v>14</v>
      </c>
      <c r="F90" s="4" t="s">
        <v>12</v>
      </c>
      <c r="G90" s="4" t="str">
        <f t="shared" si="1"/>
        <v>ок</v>
      </c>
      <c r="H90" s="4"/>
    </row>
    <row r="91" ht="15.75" customHeight="1">
      <c r="A91" s="3">
        <v>4.0</v>
      </c>
      <c r="B91" s="3">
        <v>4.0</v>
      </c>
      <c r="C91" s="4" t="s">
        <v>179</v>
      </c>
      <c r="D91" s="4" t="s">
        <v>179</v>
      </c>
      <c r="E91" s="4" t="s">
        <v>14</v>
      </c>
      <c r="F91" s="4" t="s">
        <v>65</v>
      </c>
      <c r="G91" s="4" t="str">
        <f t="shared" si="1"/>
        <v>ек</v>
      </c>
      <c r="H91" s="4"/>
    </row>
    <row r="92" ht="15.75" customHeight="1">
      <c r="A92" s="3">
        <v>4.0</v>
      </c>
      <c r="B92" s="3">
        <v>4.0</v>
      </c>
      <c r="C92" s="4" t="s">
        <v>180</v>
      </c>
      <c r="D92" s="4" t="s">
        <v>181</v>
      </c>
      <c r="E92" s="4" t="s">
        <v>14</v>
      </c>
      <c r="F92" s="4" t="s">
        <v>50</v>
      </c>
      <c r="G92" s="4" t="str">
        <f t="shared" si="1"/>
        <v>ка</v>
      </c>
      <c r="H92" s="4"/>
    </row>
    <row r="93" ht="15.75" customHeight="1">
      <c r="A93" s="3">
        <v>4.0</v>
      </c>
      <c r="B93" s="3">
        <v>4.0</v>
      </c>
      <c r="C93" s="4" t="s">
        <v>182</v>
      </c>
      <c r="D93" s="4" t="s">
        <v>67</v>
      </c>
      <c r="E93" s="4" t="s">
        <v>14</v>
      </c>
      <c r="F93" s="4" t="s">
        <v>68</v>
      </c>
      <c r="G93" s="4" t="str">
        <f t="shared" si="1"/>
        <v>ка</v>
      </c>
      <c r="H93" s="4"/>
    </row>
    <row r="94" ht="15.75" customHeight="1">
      <c r="A94" s="3">
        <v>4.0</v>
      </c>
      <c r="B94" s="3">
        <v>4.0</v>
      </c>
      <c r="C94" s="4" t="s">
        <v>183</v>
      </c>
      <c r="D94" s="4" t="s">
        <v>184</v>
      </c>
      <c r="E94" s="4" t="s">
        <v>56</v>
      </c>
      <c r="F94" s="4" t="s">
        <v>185</v>
      </c>
      <c r="G94" s="4" t="str">
        <f t="shared" si="1"/>
        <v>ка</v>
      </c>
      <c r="H94" s="4"/>
    </row>
    <row r="95" ht="15.75" customHeight="1">
      <c r="A95" s="3">
        <v>3.0</v>
      </c>
      <c r="B95" s="3">
        <v>4.0</v>
      </c>
      <c r="C95" s="4" t="s">
        <v>186</v>
      </c>
      <c r="D95" s="4" t="s">
        <v>186</v>
      </c>
      <c r="E95" s="4" t="s">
        <v>56</v>
      </c>
      <c r="F95" s="4" t="s">
        <v>187</v>
      </c>
      <c r="G95" s="4" t="str">
        <f t="shared" si="1"/>
        <v>ок</v>
      </c>
      <c r="H95" s="4"/>
    </row>
    <row r="96" ht="15.75" customHeight="1">
      <c r="A96" s="3">
        <v>4.0</v>
      </c>
      <c r="B96" s="3">
        <v>4.0</v>
      </c>
      <c r="C96" s="4" t="s">
        <v>188</v>
      </c>
      <c r="D96" s="4" t="s">
        <v>189</v>
      </c>
      <c r="E96" s="4" t="s">
        <v>56</v>
      </c>
      <c r="F96" s="4" t="s">
        <v>190</v>
      </c>
      <c r="G96" s="4" t="str">
        <f t="shared" si="1"/>
        <v>ка</v>
      </c>
      <c r="H96" s="4"/>
    </row>
    <row r="97" ht="15.75" customHeight="1">
      <c r="A97" s="3">
        <v>3.0</v>
      </c>
      <c r="B97" s="3">
        <v>4.0</v>
      </c>
      <c r="C97" s="4" t="s">
        <v>191</v>
      </c>
      <c r="D97" s="4" t="s">
        <v>192</v>
      </c>
      <c r="E97" s="4" t="s">
        <v>18</v>
      </c>
      <c r="F97" s="4" t="s">
        <v>193</v>
      </c>
      <c r="G97" s="4" t="str">
        <f t="shared" si="1"/>
        <v>ец</v>
      </c>
      <c r="H97" s="4"/>
    </row>
    <row r="98" ht="15.75" customHeight="1">
      <c r="A98" s="4"/>
      <c r="B98" s="4"/>
      <c r="C98" s="4"/>
      <c r="D98" s="4"/>
      <c r="E98" s="4"/>
      <c r="F98" s="4"/>
      <c r="G98" s="4"/>
      <c r="H98" s="4"/>
    </row>
    <row r="99" ht="15.75" customHeight="1">
      <c r="A99" s="4"/>
      <c r="B99" s="4"/>
      <c r="C99" s="4"/>
      <c r="D99" s="4"/>
      <c r="E99" s="4"/>
      <c r="F99" s="4"/>
      <c r="G99" s="4"/>
      <c r="H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</row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6" width="12.63"/>
  </cols>
  <sheetData>
    <row r="1" ht="15.75" customHeight="1">
      <c r="A1" s="5" t="s">
        <v>4</v>
      </c>
      <c r="B1" s="5" t="s">
        <v>194</v>
      </c>
    </row>
    <row r="2" ht="15.75" customHeight="1">
      <c r="A2" s="5"/>
      <c r="B2" s="5">
        <v>0.0</v>
      </c>
    </row>
    <row r="3" ht="15.75" customHeight="1">
      <c r="A3" s="5" t="s">
        <v>8</v>
      </c>
      <c r="B3" s="5">
        <v>1.0</v>
      </c>
    </row>
    <row r="4" ht="15.75" customHeight="1">
      <c r="A4" s="5" t="s">
        <v>26</v>
      </c>
      <c r="B4" s="5">
        <v>1.0</v>
      </c>
    </row>
    <row r="5" ht="15.75" customHeight="1">
      <c r="A5" s="5" t="s">
        <v>29</v>
      </c>
      <c r="B5" s="5">
        <v>1.0</v>
      </c>
    </row>
    <row r="6" ht="15.75" customHeight="1">
      <c r="A6" s="5" t="s">
        <v>97</v>
      </c>
      <c r="B6" s="5">
        <v>1.0</v>
      </c>
    </row>
    <row r="7" ht="15.75" customHeight="1">
      <c r="A7" s="5" t="s">
        <v>49</v>
      </c>
      <c r="B7" s="5">
        <v>1.0</v>
      </c>
    </row>
    <row r="8" ht="15.75" customHeight="1">
      <c r="A8" s="5" t="s">
        <v>53</v>
      </c>
      <c r="B8" s="5">
        <v>1.0</v>
      </c>
    </row>
    <row r="9" ht="15.75" customHeight="1">
      <c r="A9" s="5" t="s">
        <v>164</v>
      </c>
      <c r="B9" s="5">
        <v>1.0</v>
      </c>
    </row>
    <row r="10" ht="15.75" customHeight="1">
      <c r="A10" s="5" t="s">
        <v>167</v>
      </c>
      <c r="B10" s="5">
        <v>1.0</v>
      </c>
    </row>
    <row r="11" ht="15.75" customHeight="1">
      <c r="A11" s="5" t="s">
        <v>64</v>
      </c>
      <c r="B11" s="5">
        <v>1.0</v>
      </c>
    </row>
    <row r="12" ht="15.75" customHeight="1">
      <c r="A12" s="5" t="s">
        <v>172</v>
      </c>
      <c r="B12" s="5">
        <v>1.0</v>
      </c>
    </row>
    <row r="13" ht="15.75" customHeight="1">
      <c r="A13" s="5" t="s">
        <v>11</v>
      </c>
      <c r="B13" s="5">
        <v>1.0</v>
      </c>
    </row>
    <row r="14" ht="15.75" customHeight="1">
      <c r="A14" s="5" t="s">
        <v>14</v>
      </c>
      <c r="B14" s="5">
        <v>1.0</v>
      </c>
    </row>
    <row r="15" ht="15.75" customHeight="1">
      <c r="A15" s="5" t="s">
        <v>56</v>
      </c>
      <c r="B15" s="5">
        <v>1.0</v>
      </c>
    </row>
    <row r="16" ht="15.75" customHeight="1">
      <c r="A16" s="5" t="s">
        <v>59</v>
      </c>
      <c r="B16" s="5">
        <v>1.0</v>
      </c>
    </row>
    <row r="17" ht="15.75" customHeight="1">
      <c r="A17" s="5" t="s">
        <v>18</v>
      </c>
      <c r="B17" s="5">
        <v>1.0</v>
      </c>
    </row>
    <row r="18" ht="15.75" customHeight="1">
      <c r="A18" s="5" t="s">
        <v>195</v>
      </c>
      <c r="B18" s="5">
        <v>15.0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</cols>
  <sheetData>
    <row r="1" ht="15.75" customHeight="1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9" t="s">
        <v>6</v>
      </c>
    </row>
    <row r="2" ht="15.75" customHeight="1">
      <c r="A2" s="10">
        <v>21.0</v>
      </c>
      <c r="B2" s="11">
        <v>28.0</v>
      </c>
      <c r="C2" s="11" t="s">
        <v>13</v>
      </c>
      <c r="D2" s="11" t="s">
        <v>13</v>
      </c>
      <c r="E2" s="11" t="s">
        <v>14</v>
      </c>
      <c r="F2" s="11" t="s">
        <v>15</v>
      </c>
      <c r="G2" s="12" t="s">
        <v>277</v>
      </c>
      <c r="I2" s="5">
        <v>1.0</v>
      </c>
    </row>
    <row r="3" ht="15.75" customHeight="1">
      <c r="A3" s="10">
        <v>19.0</v>
      </c>
      <c r="B3" s="11">
        <v>19.0</v>
      </c>
      <c r="C3" s="11" t="s">
        <v>20</v>
      </c>
      <c r="D3" s="11" t="s">
        <v>20</v>
      </c>
      <c r="E3" s="11" t="s">
        <v>14</v>
      </c>
      <c r="F3" s="11" t="s">
        <v>21</v>
      </c>
      <c r="G3" s="12" t="s">
        <v>277</v>
      </c>
      <c r="I3" s="5">
        <v>1.0</v>
      </c>
      <c r="K3" s="5">
        <f>18/155</f>
        <v>0.1161290323</v>
      </c>
    </row>
    <row r="4" ht="15.75" customHeight="1">
      <c r="A4" s="10">
        <v>12.0</v>
      </c>
      <c r="B4" s="11">
        <v>15.0</v>
      </c>
      <c r="C4" s="11" t="s">
        <v>30</v>
      </c>
      <c r="D4" s="11" t="s">
        <v>30</v>
      </c>
      <c r="E4" s="11" t="s">
        <v>26</v>
      </c>
      <c r="F4" s="11" t="s">
        <v>21</v>
      </c>
      <c r="G4" s="12" t="s">
        <v>277</v>
      </c>
      <c r="I4" s="5">
        <v>1.0</v>
      </c>
    </row>
    <row r="5" ht="15.75" customHeight="1">
      <c r="A5" s="10">
        <v>11.0</v>
      </c>
      <c r="B5" s="11">
        <v>13.0</v>
      </c>
      <c r="C5" s="11" t="s">
        <v>36</v>
      </c>
      <c r="D5" s="11" t="s">
        <v>37</v>
      </c>
      <c r="E5" s="11" t="s">
        <v>18</v>
      </c>
      <c r="F5" s="11" t="s">
        <v>38</v>
      </c>
      <c r="G5" s="12" t="s">
        <v>277</v>
      </c>
      <c r="I5" s="5">
        <v>1.0</v>
      </c>
    </row>
    <row r="6" ht="15.75" customHeight="1">
      <c r="A6" s="10">
        <v>11.0</v>
      </c>
      <c r="B6" s="11">
        <v>11.0</v>
      </c>
      <c r="C6" s="11" t="s">
        <v>41</v>
      </c>
      <c r="D6" s="11" t="s">
        <v>30</v>
      </c>
      <c r="E6" s="11" t="s">
        <v>26</v>
      </c>
      <c r="F6" s="11" t="s">
        <v>21</v>
      </c>
      <c r="G6" s="12" t="s">
        <v>277</v>
      </c>
      <c r="I6" s="5">
        <v>1.0</v>
      </c>
    </row>
    <row r="7" ht="15.75" customHeight="1">
      <c r="A7" s="10">
        <v>7.0</v>
      </c>
      <c r="B7" s="11">
        <v>9.0</v>
      </c>
      <c r="C7" s="11" t="s">
        <v>61</v>
      </c>
      <c r="D7" s="11" t="s">
        <v>61</v>
      </c>
      <c r="E7" s="11" t="s">
        <v>26</v>
      </c>
      <c r="F7" s="11" t="s">
        <v>62</v>
      </c>
      <c r="G7" s="12" t="s">
        <v>277</v>
      </c>
      <c r="I7" s="5">
        <v>1.0</v>
      </c>
    </row>
    <row r="8" ht="15.75" customHeight="1">
      <c r="A8" s="10">
        <v>8.0</v>
      </c>
      <c r="B8" s="11">
        <v>8.0</v>
      </c>
      <c r="C8" s="11" t="s">
        <v>75</v>
      </c>
      <c r="D8" s="11" t="s">
        <v>20</v>
      </c>
      <c r="E8" s="11" t="s">
        <v>14</v>
      </c>
      <c r="F8" s="11" t="s">
        <v>21</v>
      </c>
      <c r="G8" s="12" t="s">
        <v>277</v>
      </c>
      <c r="I8" s="5">
        <v>1.0</v>
      </c>
    </row>
    <row r="9" ht="15.75" customHeight="1">
      <c r="A9" s="10">
        <v>1.0</v>
      </c>
      <c r="B9" s="11">
        <v>6.0</v>
      </c>
      <c r="C9" s="11" t="s">
        <v>98</v>
      </c>
      <c r="D9" s="11" t="s">
        <v>98</v>
      </c>
      <c r="E9" s="11" t="s">
        <v>53</v>
      </c>
      <c r="F9" s="11" t="s">
        <v>21</v>
      </c>
      <c r="G9" s="12" t="s">
        <v>277</v>
      </c>
      <c r="I9" s="5">
        <v>1.0</v>
      </c>
    </row>
    <row r="10" ht="15.75" customHeight="1">
      <c r="A10" s="10">
        <v>4.0</v>
      </c>
      <c r="B10" s="11">
        <v>6.0</v>
      </c>
      <c r="C10" s="11" t="s">
        <v>103</v>
      </c>
      <c r="D10" s="11" t="s">
        <v>20</v>
      </c>
      <c r="E10" s="11" t="s">
        <v>14</v>
      </c>
      <c r="F10" s="11" t="s">
        <v>21</v>
      </c>
      <c r="G10" s="12" t="s">
        <v>277</v>
      </c>
      <c r="I10" s="5">
        <v>1.0</v>
      </c>
    </row>
    <row r="11" ht="15.75" customHeight="1">
      <c r="A11" s="10">
        <v>2.0</v>
      </c>
      <c r="B11" s="11">
        <v>5.0</v>
      </c>
      <c r="C11" s="11" t="s">
        <v>111</v>
      </c>
      <c r="D11" s="11" t="s">
        <v>111</v>
      </c>
      <c r="E11" s="11" t="s">
        <v>26</v>
      </c>
      <c r="F11" s="11" t="s">
        <v>112</v>
      </c>
      <c r="G11" s="12" t="s">
        <v>277</v>
      </c>
      <c r="I11" s="5">
        <v>1.0</v>
      </c>
    </row>
    <row r="12" ht="15.75" customHeight="1">
      <c r="A12" s="10">
        <v>5.0</v>
      </c>
      <c r="B12" s="11">
        <v>5.0</v>
      </c>
      <c r="C12" s="11" t="s">
        <v>124</v>
      </c>
      <c r="D12" s="11" t="s">
        <v>124</v>
      </c>
      <c r="E12" s="11" t="s">
        <v>97</v>
      </c>
      <c r="F12" s="11" t="s">
        <v>125</v>
      </c>
      <c r="G12" s="12" t="s">
        <v>277</v>
      </c>
      <c r="I12" s="5">
        <v>1.0</v>
      </c>
    </row>
    <row r="13" ht="15.75" customHeight="1">
      <c r="A13" s="10">
        <v>2.0</v>
      </c>
      <c r="B13" s="11">
        <v>5.0</v>
      </c>
      <c r="C13" s="11" t="s">
        <v>127</v>
      </c>
      <c r="D13" s="11" t="s">
        <v>98</v>
      </c>
      <c r="E13" s="11" t="s">
        <v>53</v>
      </c>
      <c r="F13" s="11" t="s">
        <v>21</v>
      </c>
      <c r="G13" s="12" t="s">
        <v>277</v>
      </c>
      <c r="I13" s="5">
        <v>1.0</v>
      </c>
    </row>
    <row r="14" ht="15.75" customHeight="1">
      <c r="A14" s="10">
        <v>4.0</v>
      </c>
      <c r="B14" s="11">
        <v>5.0</v>
      </c>
      <c r="C14" s="11" t="s">
        <v>130</v>
      </c>
      <c r="D14" s="11" t="s">
        <v>20</v>
      </c>
      <c r="E14" s="11" t="s">
        <v>14</v>
      </c>
      <c r="F14" s="11" t="s">
        <v>21</v>
      </c>
      <c r="G14" s="12" t="s">
        <v>277</v>
      </c>
      <c r="I14" s="5">
        <v>1.0</v>
      </c>
    </row>
    <row r="15" ht="15.75" customHeight="1">
      <c r="A15" s="10">
        <v>4.0</v>
      </c>
      <c r="B15" s="11">
        <v>4.0</v>
      </c>
      <c r="C15" s="11" t="s">
        <v>146</v>
      </c>
      <c r="D15" s="11" t="s">
        <v>30</v>
      </c>
      <c r="E15" s="11" t="s">
        <v>26</v>
      </c>
      <c r="F15" s="11" t="s">
        <v>21</v>
      </c>
      <c r="G15" s="12" t="s">
        <v>277</v>
      </c>
      <c r="I15" s="5">
        <v>1.0</v>
      </c>
    </row>
    <row r="16" ht="15.75" customHeight="1">
      <c r="A16" s="10">
        <v>4.0</v>
      </c>
      <c r="B16" s="11">
        <v>4.0</v>
      </c>
      <c r="C16" s="11" t="s">
        <v>151</v>
      </c>
      <c r="D16" s="11" t="s">
        <v>151</v>
      </c>
      <c r="E16" s="11" t="s">
        <v>97</v>
      </c>
      <c r="F16" s="11" t="s">
        <v>21</v>
      </c>
      <c r="G16" s="12" t="s">
        <v>277</v>
      </c>
      <c r="I16" s="5">
        <v>1.0</v>
      </c>
    </row>
    <row r="17" ht="15.75" customHeight="1">
      <c r="A17" s="10">
        <v>3.0</v>
      </c>
      <c r="B17" s="11">
        <v>4.0</v>
      </c>
      <c r="C17" s="11" t="s">
        <v>156</v>
      </c>
      <c r="D17" s="11" t="s">
        <v>157</v>
      </c>
      <c r="E17" s="11" t="s">
        <v>53</v>
      </c>
      <c r="F17" s="11" t="s">
        <v>158</v>
      </c>
      <c r="G17" s="12" t="s">
        <v>277</v>
      </c>
      <c r="I17" s="5">
        <v>1.0</v>
      </c>
    </row>
    <row r="18" ht="15.75" customHeight="1">
      <c r="A18" s="10">
        <v>4.0</v>
      </c>
      <c r="B18" s="11">
        <v>4.0</v>
      </c>
      <c r="C18" s="11" t="s">
        <v>173</v>
      </c>
      <c r="D18" s="11" t="s">
        <v>174</v>
      </c>
      <c r="E18" s="11" t="s">
        <v>11</v>
      </c>
      <c r="F18" s="11" t="s">
        <v>175</v>
      </c>
      <c r="G18" s="12" t="s">
        <v>277</v>
      </c>
      <c r="I18" s="5">
        <v>1.0</v>
      </c>
    </row>
    <row r="19" ht="15.75" customHeight="1">
      <c r="A19" s="10">
        <v>4.0</v>
      </c>
      <c r="B19" s="11">
        <v>4.0</v>
      </c>
      <c r="C19" s="11" t="s">
        <v>177</v>
      </c>
      <c r="D19" s="11" t="s">
        <v>20</v>
      </c>
      <c r="E19" s="11" t="s">
        <v>14</v>
      </c>
      <c r="F19" s="11" t="s">
        <v>21</v>
      </c>
      <c r="G19" s="12" t="s">
        <v>277</v>
      </c>
      <c r="I19" s="5">
        <v>1.0</v>
      </c>
    </row>
    <row r="20" ht="15.75" customHeight="1">
      <c r="I20" s="5">
        <f>SUM(I2:I19)</f>
        <v>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0"/>
    <col customWidth="1" min="2" max="6" width="12.63"/>
  </cols>
  <sheetData>
    <row r="1" ht="15.75" customHeight="1">
      <c r="A1" s="3">
        <v>90.0</v>
      </c>
      <c r="B1" s="4" t="s">
        <v>9</v>
      </c>
      <c r="C1" s="5" t="str">
        <f t="shared" ref="C1:C96" si="1">RIGHT(B1,2)</f>
        <v>ек</v>
      </c>
    </row>
    <row r="2" ht="15.75" customHeight="1">
      <c r="A2" s="3">
        <v>17.0</v>
      </c>
      <c r="B2" s="4" t="s">
        <v>9</v>
      </c>
      <c r="C2" s="5" t="str">
        <f t="shared" si="1"/>
        <v>ек</v>
      </c>
    </row>
    <row r="3" ht="15.75" customHeight="1">
      <c r="A3" s="3">
        <v>14.0</v>
      </c>
      <c r="B3" s="4" t="s">
        <v>9</v>
      </c>
      <c r="C3" s="5" t="str">
        <f t="shared" si="1"/>
        <v>ек</v>
      </c>
    </row>
    <row r="4" ht="15.75" customHeight="1">
      <c r="A4" s="3">
        <v>10.0</v>
      </c>
      <c r="B4" s="4" t="s">
        <v>46</v>
      </c>
      <c r="C4" s="5" t="str">
        <f t="shared" si="1"/>
        <v>ек</v>
      </c>
    </row>
    <row r="5" ht="15.75" customHeight="1">
      <c r="A5" s="3">
        <v>9.0</v>
      </c>
      <c r="B5" s="4" t="s">
        <v>65</v>
      </c>
      <c r="C5" s="5" t="str">
        <f t="shared" si="1"/>
        <v>ек</v>
      </c>
    </row>
    <row r="6" ht="15.75" customHeight="1">
      <c r="A6" s="3">
        <v>9.0</v>
      </c>
      <c r="B6" s="4" t="s">
        <v>65</v>
      </c>
      <c r="C6" s="5" t="str">
        <f t="shared" si="1"/>
        <v>ек</v>
      </c>
    </row>
    <row r="7" ht="15.75" customHeight="1">
      <c r="A7" s="3">
        <v>7.0</v>
      </c>
      <c r="B7" s="4" t="s">
        <v>9</v>
      </c>
      <c r="C7" s="5" t="str">
        <f t="shared" si="1"/>
        <v>ек</v>
      </c>
    </row>
    <row r="8" ht="15.75" customHeight="1">
      <c r="A8" s="3">
        <v>6.0</v>
      </c>
      <c r="B8" s="4" t="s">
        <v>46</v>
      </c>
      <c r="C8" s="5" t="str">
        <f t="shared" si="1"/>
        <v>ек</v>
      </c>
    </row>
    <row r="9" ht="15.75" customHeight="1">
      <c r="A9" s="3">
        <v>6.0</v>
      </c>
      <c r="B9" s="4" t="s">
        <v>46</v>
      </c>
      <c r="C9" s="5" t="str">
        <f t="shared" si="1"/>
        <v>ек</v>
      </c>
    </row>
    <row r="10" ht="15.75" customHeight="1">
      <c r="A10" s="3">
        <v>6.0</v>
      </c>
      <c r="B10" s="4" t="s">
        <v>9</v>
      </c>
      <c r="C10" s="5" t="str">
        <f t="shared" si="1"/>
        <v>ек</v>
      </c>
    </row>
    <row r="11" ht="15.75" customHeight="1">
      <c r="A11" s="3">
        <v>5.0</v>
      </c>
      <c r="B11" s="4" t="s">
        <v>9</v>
      </c>
      <c r="C11" s="5" t="str">
        <f t="shared" si="1"/>
        <v>ек</v>
      </c>
    </row>
    <row r="12" ht="15.75" customHeight="1">
      <c r="A12" s="3">
        <v>5.0</v>
      </c>
      <c r="B12" s="4" t="s">
        <v>46</v>
      </c>
      <c r="C12" s="5" t="str">
        <f t="shared" si="1"/>
        <v>ек</v>
      </c>
    </row>
    <row r="13" ht="15.75" customHeight="1">
      <c r="A13" s="3">
        <v>5.0</v>
      </c>
      <c r="B13" s="4" t="s">
        <v>9</v>
      </c>
      <c r="C13" s="5" t="str">
        <f t="shared" si="1"/>
        <v>ек</v>
      </c>
    </row>
    <row r="14" ht="15.75" customHeight="1">
      <c r="A14" s="3">
        <v>5.0</v>
      </c>
      <c r="B14" s="4" t="s">
        <v>123</v>
      </c>
      <c r="C14" s="5" t="str">
        <f t="shared" si="1"/>
        <v>ек</v>
      </c>
    </row>
    <row r="15" ht="15.75" customHeight="1">
      <c r="A15" s="3">
        <v>5.0</v>
      </c>
      <c r="B15" s="4" t="s">
        <v>9</v>
      </c>
      <c r="C15" s="5" t="str">
        <f t="shared" si="1"/>
        <v>ек</v>
      </c>
    </row>
    <row r="16" ht="15.75" customHeight="1">
      <c r="A16" s="3">
        <v>5.0</v>
      </c>
      <c r="B16" s="4" t="s">
        <v>65</v>
      </c>
      <c r="C16" s="5" t="str">
        <f t="shared" si="1"/>
        <v>ек</v>
      </c>
    </row>
    <row r="17" ht="15.75" customHeight="1">
      <c r="A17" s="3">
        <v>5.0</v>
      </c>
      <c r="B17" s="4" t="s">
        <v>123</v>
      </c>
      <c r="C17" s="5" t="str">
        <f t="shared" si="1"/>
        <v>ек</v>
      </c>
    </row>
    <row r="18" ht="15.75" customHeight="1">
      <c r="A18" s="3">
        <v>4.0</v>
      </c>
      <c r="B18" s="4" t="s">
        <v>9</v>
      </c>
      <c r="C18" s="5" t="str">
        <f t="shared" si="1"/>
        <v>ек</v>
      </c>
    </row>
    <row r="19" ht="15.75" customHeight="1">
      <c r="A19" s="3">
        <v>4.0</v>
      </c>
      <c r="B19" s="4" t="s">
        <v>9</v>
      </c>
      <c r="C19" s="5" t="str">
        <f t="shared" si="1"/>
        <v>ек</v>
      </c>
    </row>
    <row r="20" ht="15.75" customHeight="1">
      <c r="A20" s="3">
        <v>4.0</v>
      </c>
      <c r="B20" s="4" t="s">
        <v>9</v>
      </c>
      <c r="C20" s="5" t="str">
        <f t="shared" si="1"/>
        <v>ек</v>
      </c>
    </row>
    <row r="21" ht="15.75" customHeight="1">
      <c r="A21" s="3">
        <v>4.0</v>
      </c>
      <c r="B21" s="4" t="s">
        <v>46</v>
      </c>
      <c r="C21" s="5" t="str">
        <f t="shared" si="1"/>
        <v>ек</v>
      </c>
    </row>
    <row r="22" ht="15.75" customHeight="1">
      <c r="A22" s="3">
        <v>4.0</v>
      </c>
      <c r="B22" s="4" t="s">
        <v>65</v>
      </c>
      <c r="C22" s="5" t="str">
        <f t="shared" si="1"/>
        <v>ек</v>
      </c>
    </row>
    <row r="23" ht="15.75" customHeight="1">
      <c r="A23" s="3">
        <v>4.0</v>
      </c>
      <c r="B23" s="4" t="s">
        <v>193</v>
      </c>
      <c r="C23" s="5" t="str">
        <f t="shared" si="1"/>
        <v>ец</v>
      </c>
    </row>
    <row r="24" ht="15.75" customHeight="1">
      <c r="A24" s="3">
        <v>28.0</v>
      </c>
      <c r="B24" s="4" t="s">
        <v>15</v>
      </c>
      <c r="C24" s="5" t="str">
        <f t="shared" si="1"/>
        <v>ик</v>
      </c>
    </row>
    <row r="25" ht="15.75" customHeight="1">
      <c r="A25" s="3">
        <v>19.0</v>
      </c>
      <c r="B25" s="4" t="s">
        <v>21</v>
      </c>
      <c r="C25" s="5" t="str">
        <f t="shared" si="1"/>
        <v>ик</v>
      </c>
    </row>
    <row r="26" ht="15.75" customHeight="1">
      <c r="A26" s="3">
        <v>15.0</v>
      </c>
      <c r="B26" s="4" t="s">
        <v>21</v>
      </c>
      <c r="C26" s="5" t="str">
        <f t="shared" si="1"/>
        <v>ик</v>
      </c>
    </row>
    <row r="27" ht="15.75" customHeight="1">
      <c r="A27" s="3">
        <v>13.0</v>
      </c>
      <c r="B27" s="4" t="s">
        <v>38</v>
      </c>
      <c r="C27" s="5" t="str">
        <f t="shared" si="1"/>
        <v>ик</v>
      </c>
    </row>
    <row r="28" ht="15.75" customHeight="1">
      <c r="A28" s="3">
        <v>11.0</v>
      </c>
      <c r="B28" s="4" t="s">
        <v>21</v>
      </c>
      <c r="C28" s="5" t="str">
        <f t="shared" si="1"/>
        <v>ик</v>
      </c>
    </row>
    <row r="29" ht="15.75" customHeight="1">
      <c r="A29" s="3">
        <v>9.0</v>
      </c>
      <c r="B29" s="4" t="s">
        <v>62</v>
      </c>
      <c r="C29" s="5" t="str">
        <f t="shared" si="1"/>
        <v>ик</v>
      </c>
    </row>
    <row r="30" ht="15.75" customHeight="1">
      <c r="A30" s="3">
        <v>8.0</v>
      </c>
      <c r="B30" s="4" t="s">
        <v>21</v>
      </c>
      <c r="C30" s="5" t="str">
        <f t="shared" si="1"/>
        <v>ик</v>
      </c>
    </row>
    <row r="31" ht="15.75" customHeight="1">
      <c r="A31" s="3">
        <v>6.0</v>
      </c>
      <c r="B31" s="4" t="s">
        <v>21</v>
      </c>
      <c r="C31" s="5" t="str">
        <f t="shared" si="1"/>
        <v>ик</v>
      </c>
    </row>
    <row r="32" ht="15.75" customHeight="1">
      <c r="A32" s="3">
        <v>6.0</v>
      </c>
      <c r="B32" s="4" t="s">
        <v>21</v>
      </c>
      <c r="C32" s="5" t="str">
        <f t="shared" si="1"/>
        <v>ик</v>
      </c>
    </row>
    <row r="33" ht="15.75" customHeight="1">
      <c r="A33" s="3">
        <v>5.0</v>
      </c>
      <c r="B33" s="4" t="s">
        <v>112</v>
      </c>
      <c r="C33" s="5" t="str">
        <f t="shared" si="1"/>
        <v>ик</v>
      </c>
    </row>
    <row r="34" ht="15.75" customHeight="1">
      <c r="A34" s="3">
        <v>5.0</v>
      </c>
      <c r="B34" s="4" t="s">
        <v>125</v>
      </c>
      <c r="C34" s="5" t="str">
        <f t="shared" si="1"/>
        <v>ик</v>
      </c>
    </row>
    <row r="35" ht="15.75" customHeight="1">
      <c r="A35" s="3">
        <v>5.0</v>
      </c>
      <c r="B35" s="4" t="s">
        <v>21</v>
      </c>
      <c r="C35" s="5" t="str">
        <f t="shared" si="1"/>
        <v>ик</v>
      </c>
    </row>
    <row r="36" ht="15.75" customHeight="1">
      <c r="A36" s="3">
        <v>5.0</v>
      </c>
      <c r="B36" s="4" t="s">
        <v>21</v>
      </c>
      <c r="C36" s="5" t="str">
        <f t="shared" si="1"/>
        <v>ик</v>
      </c>
    </row>
    <row r="37" ht="15.75" customHeight="1">
      <c r="A37" s="3">
        <v>4.0</v>
      </c>
      <c r="B37" s="4" t="s">
        <v>21</v>
      </c>
      <c r="C37" s="5" t="str">
        <f t="shared" si="1"/>
        <v>ик</v>
      </c>
    </row>
    <row r="38" ht="15.75" customHeight="1">
      <c r="A38" s="3">
        <v>4.0</v>
      </c>
      <c r="B38" s="4" t="s">
        <v>21</v>
      </c>
      <c r="C38" s="5" t="str">
        <f t="shared" si="1"/>
        <v>ик</v>
      </c>
    </row>
    <row r="39" ht="15.75" customHeight="1">
      <c r="A39" s="3">
        <v>4.0</v>
      </c>
      <c r="B39" s="4" t="s">
        <v>158</v>
      </c>
      <c r="C39" s="5" t="str">
        <f t="shared" si="1"/>
        <v>ик</v>
      </c>
    </row>
    <row r="40" ht="15.75" customHeight="1">
      <c r="A40" s="3">
        <v>4.0</v>
      </c>
      <c r="B40" s="4" t="s">
        <v>175</v>
      </c>
      <c r="C40" s="5" t="str">
        <f t="shared" si="1"/>
        <v>ик</v>
      </c>
    </row>
    <row r="41" ht="15.75" customHeight="1">
      <c r="A41" s="3">
        <v>4.0</v>
      </c>
      <c r="B41" s="4" t="s">
        <v>21</v>
      </c>
      <c r="C41" s="5" t="str">
        <f t="shared" si="1"/>
        <v>ик</v>
      </c>
    </row>
    <row r="42" ht="15.75" customHeight="1">
      <c r="A42" s="3">
        <v>18.0</v>
      </c>
      <c r="B42" s="4" t="s">
        <v>24</v>
      </c>
      <c r="C42" s="5" t="str">
        <f t="shared" si="1"/>
        <v>ка</v>
      </c>
    </row>
    <row r="43" ht="15.75" customHeight="1">
      <c r="A43" s="3">
        <v>13.0</v>
      </c>
      <c r="B43" s="4" t="s">
        <v>35</v>
      </c>
      <c r="C43" s="5" t="str">
        <f t="shared" si="1"/>
        <v>ка</v>
      </c>
    </row>
    <row r="44" ht="15.75" customHeight="1">
      <c r="A44" s="3">
        <v>10.0</v>
      </c>
      <c r="B44" s="4" t="s">
        <v>44</v>
      </c>
      <c r="C44" s="5" t="str">
        <f t="shared" si="1"/>
        <v>ка</v>
      </c>
    </row>
    <row r="45" ht="15.75" customHeight="1">
      <c r="A45" s="3">
        <v>10.0</v>
      </c>
      <c r="B45" s="4" t="s">
        <v>50</v>
      </c>
      <c r="C45" s="5" t="str">
        <f t="shared" si="1"/>
        <v>ка</v>
      </c>
    </row>
    <row r="46" ht="15.75" customHeight="1">
      <c r="A46" s="3">
        <v>10.0</v>
      </c>
      <c r="B46" s="4" t="s">
        <v>50</v>
      </c>
      <c r="C46" s="5" t="str">
        <f t="shared" si="1"/>
        <v>ка</v>
      </c>
    </row>
    <row r="47" ht="15.75" customHeight="1">
      <c r="A47" s="3">
        <v>10.0</v>
      </c>
      <c r="B47" s="4" t="s">
        <v>50</v>
      </c>
      <c r="C47" s="5" t="str">
        <f t="shared" si="1"/>
        <v>ка</v>
      </c>
    </row>
    <row r="48" ht="15.75" customHeight="1">
      <c r="A48" s="3">
        <v>10.0</v>
      </c>
      <c r="B48" s="4" t="s">
        <v>60</v>
      </c>
      <c r="C48" s="5" t="str">
        <f t="shared" si="1"/>
        <v>ка</v>
      </c>
    </row>
    <row r="49" ht="15.75" customHeight="1">
      <c r="A49" s="3">
        <v>9.0</v>
      </c>
      <c r="B49" s="4" t="s">
        <v>68</v>
      </c>
      <c r="C49" s="5" t="str">
        <f t="shared" si="1"/>
        <v>ка</v>
      </c>
    </row>
    <row r="50" ht="15.75" customHeight="1">
      <c r="A50" s="3">
        <v>7.0</v>
      </c>
      <c r="B50" s="4" t="s">
        <v>24</v>
      </c>
      <c r="C50" s="5" t="str">
        <f t="shared" si="1"/>
        <v>ка</v>
      </c>
    </row>
    <row r="51" ht="15.75" customHeight="1">
      <c r="A51" s="3">
        <v>7.0</v>
      </c>
      <c r="B51" s="4" t="s">
        <v>24</v>
      </c>
      <c r="C51" s="5" t="str">
        <f t="shared" si="1"/>
        <v>ка</v>
      </c>
    </row>
    <row r="52" ht="15.75" customHeight="1">
      <c r="A52" s="3">
        <v>6.0</v>
      </c>
      <c r="B52" s="4" t="s">
        <v>91</v>
      </c>
      <c r="C52" s="5" t="str">
        <f t="shared" si="1"/>
        <v>ка</v>
      </c>
    </row>
    <row r="53" ht="15.75" customHeight="1">
      <c r="A53" s="3">
        <v>6.0</v>
      </c>
      <c r="B53" s="4" t="s">
        <v>44</v>
      </c>
      <c r="C53" s="5" t="str">
        <f t="shared" si="1"/>
        <v>ка</v>
      </c>
    </row>
    <row r="54" ht="15.75" customHeight="1">
      <c r="A54" s="3">
        <v>6.0</v>
      </c>
      <c r="B54" s="4" t="s">
        <v>24</v>
      </c>
      <c r="C54" s="5" t="str">
        <f t="shared" si="1"/>
        <v>ка</v>
      </c>
    </row>
    <row r="55" ht="15.75" customHeight="1">
      <c r="A55" s="3">
        <v>6.0</v>
      </c>
      <c r="B55" s="4" t="s">
        <v>102</v>
      </c>
      <c r="C55" s="5" t="str">
        <f t="shared" si="1"/>
        <v>ка</v>
      </c>
    </row>
    <row r="56" ht="15.75" customHeight="1">
      <c r="A56" s="3">
        <v>5.0</v>
      </c>
      <c r="B56" s="4" t="s">
        <v>44</v>
      </c>
      <c r="C56" s="5" t="str">
        <f t="shared" si="1"/>
        <v>ка</v>
      </c>
    </row>
    <row r="57" ht="15.75" customHeight="1">
      <c r="A57" s="3">
        <v>5.0</v>
      </c>
      <c r="B57" s="4" t="s">
        <v>110</v>
      </c>
      <c r="C57" s="5" t="str">
        <f t="shared" si="1"/>
        <v>ка</v>
      </c>
    </row>
    <row r="58" ht="15.75" customHeight="1">
      <c r="A58" s="3">
        <v>5.0</v>
      </c>
      <c r="B58" s="4" t="s">
        <v>116</v>
      </c>
      <c r="C58" s="5" t="str">
        <f t="shared" si="1"/>
        <v>ка</v>
      </c>
    </row>
    <row r="59" ht="15.75" customHeight="1">
      <c r="A59" s="3">
        <v>5.0</v>
      </c>
      <c r="B59" s="4" t="s">
        <v>50</v>
      </c>
      <c r="C59" s="5" t="str">
        <f t="shared" si="1"/>
        <v>ка</v>
      </c>
    </row>
    <row r="60" ht="15.75" customHeight="1">
      <c r="A60" s="3">
        <v>5.0</v>
      </c>
      <c r="B60" s="4" t="s">
        <v>50</v>
      </c>
      <c r="C60" s="5" t="str">
        <f t="shared" si="1"/>
        <v>ка</v>
      </c>
    </row>
    <row r="61" ht="15.75" customHeight="1">
      <c r="A61" s="3">
        <v>5.0</v>
      </c>
      <c r="B61" s="4" t="s">
        <v>133</v>
      </c>
      <c r="C61" s="5" t="str">
        <f t="shared" si="1"/>
        <v>ка</v>
      </c>
    </row>
    <row r="62" ht="15.75" customHeight="1">
      <c r="A62" s="3">
        <v>5.0</v>
      </c>
      <c r="B62" s="4" t="s">
        <v>24</v>
      </c>
      <c r="C62" s="5" t="str">
        <f t="shared" si="1"/>
        <v>ка</v>
      </c>
    </row>
    <row r="63" ht="15.75" customHeight="1">
      <c r="A63" s="3">
        <v>5.0</v>
      </c>
      <c r="B63" s="4" t="s">
        <v>139</v>
      </c>
      <c r="C63" s="5" t="str">
        <f t="shared" si="1"/>
        <v>ка</v>
      </c>
    </row>
    <row r="64" ht="15.75" customHeight="1">
      <c r="A64" s="3">
        <v>4.0</v>
      </c>
      <c r="B64" s="4" t="s">
        <v>50</v>
      </c>
      <c r="C64" s="5" t="str">
        <f t="shared" si="1"/>
        <v>ка</v>
      </c>
    </row>
    <row r="65" ht="15.75" customHeight="1">
      <c r="A65" s="3">
        <v>4.0</v>
      </c>
      <c r="B65" s="4" t="s">
        <v>44</v>
      </c>
      <c r="C65" s="5" t="str">
        <f t="shared" si="1"/>
        <v>ка</v>
      </c>
    </row>
    <row r="66" ht="15.75" customHeight="1">
      <c r="A66" s="3">
        <v>4.0</v>
      </c>
      <c r="B66" s="4" t="s">
        <v>154</v>
      </c>
      <c r="C66" s="5" t="str">
        <f t="shared" si="1"/>
        <v>ка</v>
      </c>
    </row>
    <row r="67" ht="15.75" customHeight="1">
      <c r="A67" s="3">
        <v>4.0</v>
      </c>
      <c r="B67" s="4" t="s">
        <v>161</v>
      </c>
      <c r="C67" s="5" t="str">
        <f t="shared" si="1"/>
        <v>ка</v>
      </c>
    </row>
    <row r="68" ht="15.75" customHeight="1">
      <c r="A68" s="3">
        <v>4.0</v>
      </c>
      <c r="B68" s="4" t="s">
        <v>68</v>
      </c>
      <c r="C68" s="5" t="str">
        <f t="shared" si="1"/>
        <v>ка</v>
      </c>
    </row>
    <row r="69" ht="15.75" customHeight="1">
      <c r="A69" s="3">
        <v>4.0</v>
      </c>
      <c r="B69" s="4" t="s">
        <v>91</v>
      </c>
      <c r="C69" s="5" t="str">
        <f t="shared" si="1"/>
        <v>ка</v>
      </c>
    </row>
    <row r="70" ht="15.75" customHeight="1">
      <c r="A70" s="3">
        <v>4.0</v>
      </c>
      <c r="B70" s="4" t="s">
        <v>50</v>
      </c>
      <c r="C70" s="5" t="str">
        <f t="shared" si="1"/>
        <v>ка</v>
      </c>
    </row>
    <row r="71" ht="15.75" customHeight="1">
      <c r="A71" s="3">
        <v>4.0</v>
      </c>
      <c r="B71" s="4" t="s">
        <v>68</v>
      </c>
      <c r="C71" s="5" t="str">
        <f t="shared" si="1"/>
        <v>ка</v>
      </c>
    </row>
    <row r="72" ht="15.75" customHeight="1">
      <c r="A72" s="3">
        <v>4.0</v>
      </c>
      <c r="B72" s="4" t="s">
        <v>185</v>
      </c>
      <c r="C72" s="5" t="str">
        <f t="shared" si="1"/>
        <v>ка</v>
      </c>
    </row>
    <row r="73" ht="15.75" customHeight="1">
      <c r="A73" s="3">
        <v>4.0</v>
      </c>
      <c r="B73" s="4" t="s">
        <v>190</v>
      </c>
      <c r="C73" s="5" t="str">
        <f t="shared" si="1"/>
        <v>ка</v>
      </c>
    </row>
    <row r="74" ht="15.75" customHeight="1">
      <c r="A74" s="3">
        <v>7.0</v>
      </c>
      <c r="B74" s="4" t="s">
        <v>82</v>
      </c>
      <c r="C74" s="5" t="str">
        <f t="shared" si="1"/>
        <v>ко</v>
      </c>
    </row>
    <row r="75" ht="15.75" customHeight="1">
      <c r="A75" s="3">
        <v>65.0</v>
      </c>
      <c r="B75" s="4" t="s">
        <v>12</v>
      </c>
      <c r="C75" s="5" t="str">
        <f t="shared" si="1"/>
        <v>ок</v>
      </c>
    </row>
    <row r="76" ht="15.75" customHeight="1">
      <c r="A76" s="3">
        <v>20.0</v>
      </c>
      <c r="B76" s="4" t="s">
        <v>19</v>
      </c>
      <c r="C76" s="5" t="str">
        <f t="shared" si="1"/>
        <v>ок</v>
      </c>
    </row>
    <row r="77" ht="15.75" customHeight="1">
      <c r="A77" s="3">
        <v>16.0</v>
      </c>
      <c r="B77" s="4" t="s">
        <v>19</v>
      </c>
      <c r="C77" s="5" t="str">
        <f t="shared" si="1"/>
        <v>ок</v>
      </c>
    </row>
    <row r="78" ht="15.75" customHeight="1">
      <c r="A78" s="3">
        <v>14.0</v>
      </c>
      <c r="B78" s="4" t="s">
        <v>12</v>
      </c>
      <c r="C78" s="5" t="str">
        <f t="shared" si="1"/>
        <v>ок</v>
      </c>
    </row>
    <row r="79" ht="15.75" customHeight="1">
      <c r="A79" s="3">
        <v>12.0</v>
      </c>
      <c r="B79" s="4" t="s">
        <v>19</v>
      </c>
      <c r="C79" s="5" t="str">
        <f t="shared" si="1"/>
        <v>ок</v>
      </c>
    </row>
    <row r="80" ht="15.75" customHeight="1">
      <c r="A80" s="3">
        <v>8.0</v>
      </c>
      <c r="B80" s="4" t="s">
        <v>12</v>
      </c>
      <c r="C80" s="5" t="str">
        <f t="shared" si="1"/>
        <v>ок</v>
      </c>
    </row>
    <row r="81" ht="15.75" customHeight="1">
      <c r="A81" s="3">
        <v>8.0</v>
      </c>
      <c r="B81" s="4" t="s">
        <v>19</v>
      </c>
      <c r="C81" s="5" t="str">
        <f t="shared" si="1"/>
        <v>ок</v>
      </c>
    </row>
    <row r="82" ht="15.75" customHeight="1">
      <c r="A82" s="3">
        <v>8.0</v>
      </c>
      <c r="B82" s="4" t="s">
        <v>78</v>
      </c>
      <c r="C82" s="5" t="str">
        <f t="shared" si="1"/>
        <v>ок</v>
      </c>
    </row>
    <row r="83" ht="15.75" customHeight="1">
      <c r="A83" s="3">
        <v>6.0</v>
      </c>
      <c r="B83" s="4" t="s">
        <v>78</v>
      </c>
      <c r="C83" s="5" t="str">
        <f t="shared" si="1"/>
        <v>ок</v>
      </c>
    </row>
    <row r="84" ht="15.75" customHeight="1">
      <c r="A84" s="3">
        <v>6.0</v>
      </c>
      <c r="B84" s="4" t="s">
        <v>19</v>
      </c>
      <c r="C84" s="5" t="str">
        <f t="shared" si="1"/>
        <v>ок</v>
      </c>
    </row>
    <row r="85" ht="15.75" customHeight="1">
      <c r="A85" s="3">
        <v>6.0</v>
      </c>
      <c r="B85" s="4" t="s">
        <v>19</v>
      </c>
      <c r="C85" s="5" t="str">
        <f t="shared" si="1"/>
        <v>ок</v>
      </c>
    </row>
    <row r="86" ht="15.75" customHeight="1">
      <c r="A86" s="3">
        <v>5.0</v>
      </c>
      <c r="B86" s="4" t="s">
        <v>19</v>
      </c>
      <c r="C86" s="5" t="str">
        <f t="shared" si="1"/>
        <v>ок</v>
      </c>
    </row>
    <row r="87" ht="15.75" customHeight="1">
      <c r="A87" s="3">
        <v>4.0</v>
      </c>
      <c r="B87" s="4" t="s">
        <v>145</v>
      </c>
      <c r="C87" s="5" t="str">
        <f t="shared" si="1"/>
        <v>ок</v>
      </c>
    </row>
    <row r="88" ht="15.75" customHeight="1">
      <c r="A88" s="3">
        <v>4.0</v>
      </c>
      <c r="B88" s="4" t="s">
        <v>19</v>
      </c>
      <c r="C88" s="5" t="str">
        <f t="shared" si="1"/>
        <v>ок</v>
      </c>
    </row>
    <row r="89" ht="15.75" customHeight="1">
      <c r="A89" s="3">
        <v>4.0</v>
      </c>
      <c r="B89" s="4" t="s">
        <v>12</v>
      </c>
      <c r="C89" s="5" t="str">
        <f t="shared" si="1"/>
        <v>ок</v>
      </c>
    </row>
    <row r="90" ht="15.75" customHeight="1">
      <c r="A90" s="3">
        <v>4.0</v>
      </c>
      <c r="B90" s="4" t="s">
        <v>12</v>
      </c>
      <c r="C90" s="5" t="str">
        <f t="shared" si="1"/>
        <v>ок</v>
      </c>
    </row>
    <row r="91" ht="15.75" customHeight="1">
      <c r="A91" s="3">
        <v>4.0</v>
      </c>
      <c r="B91" s="4" t="s">
        <v>187</v>
      </c>
      <c r="C91" s="5" t="str">
        <f t="shared" si="1"/>
        <v>ок</v>
      </c>
    </row>
    <row r="92" ht="15.75" customHeight="1">
      <c r="A92" s="3">
        <v>8.0</v>
      </c>
      <c r="B92" s="4" t="s">
        <v>73</v>
      </c>
      <c r="C92" s="5" t="str">
        <f t="shared" si="1"/>
        <v>це</v>
      </c>
    </row>
    <row r="93" ht="15.75" customHeight="1">
      <c r="A93" s="3">
        <v>7.0</v>
      </c>
      <c r="B93" s="4" t="s">
        <v>73</v>
      </c>
      <c r="C93" s="5" t="str">
        <f t="shared" si="1"/>
        <v>це</v>
      </c>
    </row>
    <row r="94" ht="15.75" customHeight="1">
      <c r="A94" s="3">
        <v>7.0</v>
      </c>
      <c r="B94" s="4" t="s">
        <v>73</v>
      </c>
      <c r="C94" s="5" t="str">
        <f t="shared" si="1"/>
        <v>це</v>
      </c>
    </row>
    <row r="95" ht="15.75" customHeight="1">
      <c r="A95" s="3">
        <v>4.0</v>
      </c>
      <c r="B95" s="4" t="s">
        <v>73</v>
      </c>
      <c r="C95" s="5" t="str">
        <f t="shared" si="1"/>
        <v>це</v>
      </c>
    </row>
    <row r="96" ht="15.75" customHeight="1">
      <c r="A96" s="3">
        <v>4.0</v>
      </c>
      <c r="B96" s="4" t="s">
        <v>73</v>
      </c>
      <c r="C96" s="5" t="str">
        <f t="shared" si="1"/>
        <v>це</v>
      </c>
    </row>
    <row r="97" ht="15.75" customHeight="1">
      <c r="A97" s="1" t="s">
        <v>1</v>
      </c>
      <c r="B97" s="1"/>
    </row>
    <row r="98" ht="15.75" customHeight="1">
      <c r="A98" s="4"/>
      <c r="B98" s="4"/>
    </row>
    <row r="99" ht="15.75" customHeight="1">
      <c r="A99" s="4"/>
      <c r="B99" s="4"/>
    </row>
    <row r="100" ht="15.75" customHeight="1">
      <c r="A100" s="4"/>
      <c r="B100" s="4"/>
    </row>
    <row r="101" ht="15.75" customHeight="1">
      <c r="A101" s="4"/>
      <c r="B101" s="4"/>
    </row>
    <row r="102" ht="15.75" customHeight="1">
      <c r="A102" s="4"/>
      <c r="B102" s="4"/>
    </row>
    <row r="103" ht="15.75" customHeight="1">
      <c r="A103" s="4"/>
      <c r="B103" s="4"/>
    </row>
    <row r="104" ht="15.75" customHeight="1">
      <c r="A104" s="4"/>
      <c r="B104" s="4"/>
    </row>
    <row r="105" ht="15.75" customHeight="1">
      <c r="A105" s="4"/>
      <c r="B105" s="4"/>
    </row>
    <row r="106" ht="15.75" customHeight="1">
      <c r="A106" s="4"/>
      <c r="B106" s="4"/>
    </row>
    <row r="107" ht="15.75" customHeight="1">
      <c r="A107" s="4"/>
      <c r="B107" s="4"/>
    </row>
    <row r="108" ht="15.75" customHeight="1">
      <c r="A108" s="4"/>
      <c r="B108" s="4"/>
    </row>
    <row r="109" ht="15.75" customHeight="1">
      <c r="A109" s="4"/>
      <c r="B109" s="4"/>
    </row>
    <row r="110" ht="15.75" customHeight="1">
      <c r="A110" s="4"/>
      <c r="B110" s="4"/>
    </row>
    <row r="111" ht="15.75" customHeight="1">
      <c r="A111" s="4"/>
      <c r="B111" s="4"/>
    </row>
    <row r="112" ht="15.75" customHeight="1">
      <c r="A112" s="4"/>
      <c r="B112" s="4"/>
    </row>
    <row r="113" ht="15.75" customHeight="1">
      <c r="A113" s="4"/>
      <c r="B113" s="4"/>
    </row>
    <row r="114" ht="15.75" customHeight="1">
      <c r="A114" s="4"/>
      <c r="B114" s="4"/>
    </row>
    <row r="115" ht="15.75" customHeight="1">
      <c r="A115" s="4"/>
      <c r="B115" s="4"/>
    </row>
    <row r="116" ht="15.75" customHeight="1">
      <c r="A116" s="4"/>
      <c r="B116" s="4"/>
    </row>
    <row r="117" ht="15.75" customHeight="1">
      <c r="A117" s="4"/>
      <c r="B117" s="4"/>
    </row>
    <row r="118" ht="15.75" customHeight="1">
      <c r="A118" s="4"/>
      <c r="B118" s="4"/>
    </row>
    <row r="119" ht="15.75" customHeight="1">
      <c r="A119" s="4"/>
      <c r="B119" s="4"/>
    </row>
    <row r="120" ht="15.75" customHeight="1">
      <c r="A120" s="4"/>
      <c r="B120" s="4"/>
    </row>
    <row r="121" ht="15.75" customHeight="1">
      <c r="A121" s="4"/>
      <c r="B121" s="4"/>
    </row>
    <row r="122" ht="15.75" customHeight="1">
      <c r="A122" s="4"/>
      <c r="B122" s="4"/>
    </row>
    <row r="123" ht="15.75" customHeight="1">
      <c r="A123" s="4"/>
      <c r="B123" s="4"/>
    </row>
    <row r="124" ht="15.75" customHeight="1">
      <c r="A124" s="4"/>
      <c r="B124" s="4"/>
    </row>
    <row r="125" ht="15.75" customHeight="1">
      <c r="A125" s="4"/>
      <c r="B125" s="4"/>
    </row>
    <row r="126" ht="15.75" customHeight="1">
      <c r="A126" s="4"/>
      <c r="B126" s="4"/>
    </row>
    <row r="127" ht="15.75" customHeight="1">
      <c r="A127" s="4"/>
      <c r="B127" s="4"/>
    </row>
    <row r="128" ht="15.75" customHeight="1">
      <c r="A128" s="4"/>
      <c r="B128" s="4"/>
    </row>
    <row r="129" ht="15.75" customHeight="1">
      <c r="A129" s="4"/>
      <c r="B129" s="4"/>
    </row>
    <row r="130" ht="15.75" customHeight="1">
      <c r="A130" s="4"/>
      <c r="B130" s="4"/>
    </row>
    <row r="131" ht="15.75" customHeight="1">
      <c r="A131" s="4"/>
      <c r="B131" s="4"/>
    </row>
    <row r="132" ht="15.75" customHeight="1">
      <c r="A132" s="4"/>
      <c r="B132" s="4"/>
    </row>
    <row r="133" ht="15.75" customHeight="1">
      <c r="A133" s="4"/>
      <c r="B133" s="4"/>
    </row>
    <row r="134" ht="15.75" customHeight="1">
      <c r="A134" s="4"/>
      <c r="B134" s="4"/>
    </row>
    <row r="135" ht="15.75" customHeight="1">
      <c r="A135" s="4"/>
      <c r="B135" s="4"/>
    </row>
    <row r="136" ht="15.75" customHeight="1">
      <c r="A136" s="4"/>
      <c r="B136" s="4"/>
    </row>
    <row r="137" ht="15.75" customHeight="1">
      <c r="A137" s="4"/>
      <c r="B137" s="4"/>
    </row>
    <row r="138" ht="15.75" customHeight="1">
      <c r="A138" s="4"/>
      <c r="B138" s="4"/>
    </row>
    <row r="139" ht="15.75" customHeight="1">
      <c r="A139" s="4"/>
      <c r="B139" s="4"/>
    </row>
    <row r="140" ht="15.75" customHeight="1">
      <c r="A140" s="4"/>
      <c r="B140" s="4"/>
    </row>
    <row r="141" ht="15.75" customHeight="1">
      <c r="A141" s="4"/>
      <c r="B141" s="4"/>
    </row>
    <row r="142" ht="15.75" customHeight="1">
      <c r="A142" s="4"/>
      <c r="B142" s="4"/>
    </row>
    <row r="143" ht="15.75" customHeight="1">
      <c r="A143" s="4"/>
      <c r="B143" s="4"/>
    </row>
    <row r="144" ht="15.75" customHeight="1">
      <c r="A144" s="4"/>
      <c r="B144" s="4"/>
    </row>
    <row r="145" ht="15.75" customHeight="1">
      <c r="A145" s="4"/>
      <c r="B145" s="4"/>
    </row>
    <row r="146" ht="15.75" customHeight="1">
      <c r="A146" s="4"/>
      <c r="B146" s="4"/>
    </row>
    <row r="147" ht="15.75" customHeight="1">
      <c r="A147" s="4"/>
      <c r="B147" s="4"/>
    </row>
    <row r="148" ht="15.75" customHeight="1">
      <c r="A148" s="4"/>
      <c r="B148" s="4"/>
    </row>
    <row r="149" ht="15.75" customHeight="1">
      <c r="A149" s="4"/>
      <c r="B149" s="4"/>
    </row>
    <row r="150" ht="15.75" customHeight="1">
      <c r="A150" s="4"/>
      <c r="B150" s="4"/>
    </row>
    <row r="151" ht="15.75" customHeight="1">
      <c r="A151" s="4"/>
      <c r="B151" s="4"/>
    </row>
    <row r="152" ht="15.75" customHeight="1">
      <c r="A152" s="4"/>
      <c r="B152" s="4"/>
    </row>
    <row r="153" ht="15.75" customHeight="1">
      <c r="A153" s="4"/>
      <c r="B153" s="4"/>
    </row>
    <row r="154" ht="15.75" customHeight="1">
      <c r="A154" s="4"/>
      <c r="B154" s="4"/>
    </row>
    <row r="155" ht="15.75" customHeight="1">
      <c r="A155" s="4"/>
      <c r="B155" s="4"/>
    </row>
    <row r="156" ht="15.75" customHeight="1">
      <c r="A156" s="4"/>
      <c r="B156" s="4"/>
    </row>
    <row r="157" ht="15.75" customHeight="1">
      <c r="A157" s="4"/>
      <c r="B157" s="4"/>
    </row>
    <row r="158" ht="15.75" customHeight="1">
      <c r="A158" s="4"/>
      <c r="B158" s="4"/>
    </row>
    <row r="159" ht="15.75" customHeight="1">
      <c r="A159" s="4"/>
      <c r="B159" s="4"/>
    </row>
    <row r="160" ht="15.75" customHeight="1">
      <c r="A160" s="4"/>
      <c r="B160" s="4"/>
    </row>
    <row r="161" ht="15.75" customHeight="1">
      <c r="A161" s="4"/>
      <c r="B161" s="4"/>
    </row>
    <row r="162" ht="15.75" customHeight="1">
      <c r="A162" s="4"/>
      <c r="B162" s="4"/>
    </row>
    <row r="163" ht="15.75" customHeight="1">
      <c r="A163" s="4"/>
      <c r="B163" s="4"/>
    </row>
    <row r="164" ht="15.75" customHeight="1">
      <c r="A164" s="4"/>
      <c r="B164" s="4"/>
    </row>
    <row r="165" ht="15.75" customHeight="1">
      <c r="A165" s="4"/>
      <c r="B165" s="4"/>
    </row>
    <row r="166" ht="15.75" customHeight="1">
      <c r="A166" s="4"/>
      <c r="B166" s="4"/>
    </row>
    <row r="167" ht="15.75" customHeight="1">
      <c r="A167" s="4"/>
      <c r="B167" s="4"/>
    </row>
    <row r="168" ht="15.75" customHeight="1">
      <c r="A168" s="4"/>
      <c r="B168" s="4"/>
    </row>
    <row r="169" ht="15.75" customHeight="1">
      <c r="A169" s="4"/>
      <c r="B169" s="4"/>
    </row>
    <row r="170" ht="15.75" customHeight="1">
      <c r="A170" s="4"/>
      <c r="B170" s="4"/>
    </row>
    <row r="171" ht="15.75" customHeight="1">
      <c r="A171" s="4"/>
      <c r="B171" s="4"/>
    </row>
    <row r="172" ht="15.75" customHeight="1">
      <c r="A172" s="4"/>
      <c r="B172" s="4"/>
    </row>
    <row r="173" ht="15.75" customHeight="1">
      <c r="A173" s="4"/>
      <c r="B173" s="4"/>
    </row>
    <row r="174" ht="15.75" customHeight="1">
      <c r="A174" s="4"/>
      <c r="B174" s="4"/>
    </row>
    <row r="175" ht="15.75" customHeight="1">
      <c r="A175" s="4"/>
      <c r="B175" s="4"/>
    </row>
    <row r="176" ht="15.75" customHeight="1">
      <c r="A176" s="4"/>
      <c r="B176" s="4"/>
    </row>
    <row r="177" ht="15.75" customHeight="1">
      <c r="A177" s="4"/>
      <c r="B177" s="4"/>
    </row>
    <row r="178" ht="15.75" customHeight="1">
      <c r="A178" s="4"/>
      <c r="B178" s="4"/>
    </row>
    <row r="179" ht="15.75" customHeight="1">
      <c r="A179" s="4"/>
      <c r="B179" s="4"/>
    </row>
    <row r="180" ht="15.75" customHeight="1">
      <c r="A180" s="4"/>
      <c r="B180" s="4"/>
    </row>
    <row r="181" ht="15.75" customHeight="1">
      <c r="A181" s="4"/>
      <c r="B181" s="4"/>
    </row>
    <row r="182" ht="15.75" customHeight="1">
      <c r="A182" s="4"/>
      <c r="B182" s="4"/>
    </row>
    <row r="183" ht="15.75" customHeight="1">
      <c r="A183" s="4"/>
      <c r="B183" s="4"/>
    </row>
    <row r="184" ht="15.75" customHeight="1">
      <c r="A184" s="4"/>
      <c r="B184" s="4"/>
    </row>
    <row r="185" ht="15.75" customHeight="1">
      <c r="A185" s="4"/>
      <c r="B185" s="4"/>
    </row>
    <row r="186" ht="15.75" customHeight="1">
      <c r="A186" s="4"/>
      <c r="B186" s="4"/>
    </row>
    <row r="187" ht="15.75" customHeight="1">
      <c r="A187" s="4"/>
      <c r="B187" s="4"/>
    </row>
    <row r="188" ht="15.75" customHeight="1">
      <c r="A188" s="4"/>
      <c r="B188" s="4"/>
    </row>
    <row r="189" ht="15.75" customHeight="1">
      <c r="A189" s="4"/>
      <c r="B189" s="4"/>
    </row>
    <row r="190" ht="15.75" customHeight="1">
      <c r="A190" s="4"/>
      <c r="B190" s="4"/>
    </row>
    <row r="191" ht="15.75" customHeight="1">
      <c r="A191" s="4"/>
      <c r="B191" s="4"/>
    </row>
    <row r="192" ht="15.75" customHeight="1">
      <c r="A192" s="4"/>
      <c r="B192" s="4"/>
    </row>
    <row r="193" ht="15.75" customHeight="1">
      <c r="A193" s="4"/>
      <c r="B193" s="4"/>
    </row>
    <row r="194" ht="15.75" customHeight="1">
      <c r="A194" s="4"/>
      <c r="B194" s="4"/>
    </row>
    <row r="195" ht="15.75" customHeight="1">
      <c r="A195" s="4"/>
      <c r="B195" s="4"/>
    </row>
    <row r="196" ht="15.75" customHeight="1">
      <c r="A196" s="4"/>
      <c r="B196" s="4"/>
    </row>
    <row r="197" ht="15.75" customHeight="1">
      <c r="A197" s="4"/>
      <c r="B197" s="4"/>
    </row>
    <row r="198" ht="15.75" customHeight="1">
      <c r="A198" s="4"/>
      <c r="B198" s="4"/>
    </row>
    <row r="199" ht="15.75" customHeight="1">
      <c r="A199" s="4"/>
      <c r="B199" s="4"/>
    </row>
    <row r="200" ht="15.75" customHeight="1">
      <c r="A200" s="4"/>
      <c r="B200" s="4"/>
    </row>
    <row r="201" ht="15.75" customHeight="1">
      <c r="A201" s="4"/>
      <c r="B201" s="4"/>
    </row>
    <row r="202" ht="15.75" customHeight="1">
      <c r="A202" s="4"/>
      <c r="B202" s="4"/>
    </row>
    <row r="203" ht="15.75" customHeight="1">
      <c r="A203" s="4"/>
      <c r="B203" s="4"/>
    </row>
    <row r="204" ht="15.75" customHeight="1">
      <c r="A204" s="4"/>
      <c r="B204" s="4"/>
    </row>
    <row r="205" ht="15.75" customHeight="1">
      <c r="A205" s="4"/>
      <c r="B205" s="4"/>
    </row>
    <row r="206" ht="15.75" customHeight="1">
      <c r="A206" s="4"/>
      <c r="B206" s="4"/>
    </row>
    <row r="207" ht="15.75" customHeight="1">
      <c r="A207" s="4"/>
      <c r="B207" s="4"/>
    </row>
    <row r="208" ht="15.75" customHeight="1">
      <c r="A208" s="4"/>
      <c r="B208" s="4"/>
    </row>
    <row r="209" ht="15.75" customHeight="1">
      <c r="A209" s="4"/>
      <c r="B209" s="4"/>
    </row>
    <row r="210" ht="15.75" customHeight="1">
      <c r="A210" s="4"/>
      <c r="B210" s="4"/>
    </row>
    <row r="211" ht="15.75" customHeight="1">
      <c r="A211" s="4"/>
      <c r="B211" s="4"/>
    </row>
    <row r="212" ht="15.75" customHeight="1">
      <c r="A212" s="4"/>
      <c r="B212" s="4"/>
    </row>
    <row r="213" ht="15.75" customHeight="1">
      <c r="A213" s="4"/>
      <c r="B213" s="4"/>
    </row>
    <row r="214" ht="15.75" customHeight="1">
      <c r="A214" s="4"/>
      <c r="B214" s="4"/>
    </row>
    <row r="215" ht="15.75" customHeight="1">
      <c r="A215" s="4"/>
      <c r="B215" s="4"/>
    </row>
    <row r="216" ht="15.75" customHeight="1">
      <c r="A216" s="4"/>
      <c r="B216" s="4"/>
    </row>
    <row r="217" ht="15.75" customHeight="1">
      <c r="A217" s="4"/>
      <c r="B217" s="4"/>
    </row>
    <row r="218" ht="15.75" customHeight="1">
      <c r="A218" s="4"/>
      <c r="B218" s="4"/>
    </row>
    <row r="219" ht="15.75" customHeight="1">
      <c r="A219" s="4"/>
      <c r="B219" s="4"/>
    </row>
    <row r="220" ht="15.75" customHeight="1">
      <c r="A220" s="4"/>
      <c r="B220" s="4"/>
    </row>
    <row r="221" ht="15.75" customHeight="1">
      <c r="A221" s="4"/>
      <c r="B221" s="4"/>
    </row>
    <row r="222" ht="15.75" customHeight="1">
      <c r="A222" s="4"/>
      <c r="B222" s="4"/>
    </row>
    <row r="223" ht="15.75" customHeight="1">
      <c r="A223" s="4"/>
      <c r="B223" s="4"/>
    </row>
    <row r="224" ht="15.75" customHeight="1">
      <c r="A224" s="4"/>
      <c r="B224" s="4"/>
    </row>
    <row r="225" ht="15.75" customHeight="1">
      <c r="A225" s="4"/>
      <c r="B225" s="4"/>
    </row>
    <row r="226" ht="15.75" customHeight="1">
      <c r="A226" s="4"/>
      <c r="B226" s="4"/>
    </row>
    <row r="227" ht="15.75" customHeight="1">
      <c r="A227" s="4"/>
      <c r="B227" s="4"/>
    </row>
    <row r="228" ht="15.75" customHeight="1">
      <c r="A228" s="4"/>
      <c r="B228" s="4"/>
    </row>
    <row r="229" ht="15.75" customHeight="1">
      <c r="A229" s="4"/>
      <c r="B229" s="4"/>
    </row>
    <row r="230" ht="15.75" customHeight="1">
      <c r="A230" s="4"/>
      <c r="B230" s="4"/>
    </row>
    <row r="231" ht="15.75" customHeight="1">
      <c r="A231" s="4"/>
      <c r="B231" s="4"/>
    </row>
    <row r="232" ht="15.75" customHeight="1">
      <c r="A232" s="4"/>
      <c r="B232" s="4"/>
    </row>
    <row r="233" ht="15.75" customHeight="1">
      <c r="A233" s="4"/>
      <c r="B233" s="4"/>
    </row>
    <row r="234" ht="15.75" customHeight="1">
      <c r="A234" s="4"/>
      <c r="B234" s="4"/>
    </row>
    <row r="235" ht="15.75" customHeight="1">
      <c r="A235" s="4"/>
      <c r="B235" s="4"/>
    </row>
    <row r="236" ht="15.75" customHeight="1">
      <c r="A236" s="4"/>
      <c r="B236" s="4"/>
    </row>
    <row r="237" ht="15.75" customHeight="1">
      <c r="A237" s="4"/>
      <c r="B237" s="4"/>
    </row>
    <row r="238" ht="15.75" customHeight="1">
      <c r="A238" s="4"/>
      <c r="B238" s="4"/>
    </row>
    <row r="239" ht="15.75" customHeight="1">
      <c r="A239" s="4"/>
      <c r="B239" s="4"/>
    </row>
    <row r="240" ht="15.75" customHeight="1">
      <c r="A240" s="4"/>
      <c r="B240" s="4"/>
    </row>
    <row r="241" ht="15.75" customHeight="1">
      <c r="A241" s="4"/>
      <c r="B241" s="4"/>
    </row>
    <row r="242" ht="15.75" customHeight="1">
      <c r="A242" s="4"/>
      <c r="B242" s="4"/>
    </row>
    <row r="243" ht="15.75" customHeight="1">
      <c r="A243" s="4"/>
      <c r="B243" s="4"/>
    </row>
    <row r="244" ht="15.75" customHeight="1">
      <c r="A244" s="4"/>
      <c r="B244" s="4"/>
    </row>
    <row r="245" ht="15.75" customHeight="1">
      <c r="A245" s="4"/>
      <c r="B245" s="4"/>
    </row>
    <row r="246" ht="15.75" customHeight="1">
      <c r="A246" s="4"/>
      <c r="B246" s="4"/>
    </row>
    <row r="247" ht="15.75" customHeight="1">
      <c r="A247" s="4"/>
      <c r="B247" s="4"/>
    </row>
    <row r="248" ht="15.75" customHeight="1">
      <c r="A248" s="4"/>
      <c r="B248" s="4"/>
    </row>
    <row r="249" ht="15.75" customHeight="1">
      <c r="A249" s="4"/>
      <c r="B249" s="4"/>
    </row>
    <row r="250" ht="15.75" customHeight="1">
      <c r="A250" s="4"/>
      <c r="B250" s="4"/>
    </row>
    <row r="251" ht="15.75" customHeight="1">
      <c r="A251" s="4"/>
      <c r="B251" s="4"/>
    </row>
    <row r="252" ht="15.75" customHeight="1">
      <c r="A252" s="4"/>
      <c r="B252" s="4"/>
    </row>
    <row r="253" ht="15.75" customHeight="1">
      <c r="A253" s="4"/>
      <c r="B253" s="4"/>
    </row>
    <row r="254" ht="15.75" customHeight="1">
      <c r="A254" s="4"/>
      <c r="B254" s="4"/>
    </row>
    <row r="255" ht="15.75" customHeight="1">
      <c r="A255" s="4"/>
      <c r="B255" s="4"/>
    </row>
    <row r="256" ht="15.75" customHeight="1">
      <c r="A256" s="4"/>
      <c r="B256" s="4"/>
    </row>
    <row r="257" ht="15.75" customHeight="1">
      <c r="A257" s="4"/>
      <c r="B257" s="4"/>
    </row>
    <row r="258" ht="15.75" customHeight="1">
      <c r="A258" s="4"/>
      <c r="B258" s="4"/>
    </row>
    <row r="259" ht="15.75" customHeight="1">
      <c r="A259" s="4"/>
      <c r="B259" s="4"/>
    </row>
    <row r="260" ht="15.75" customHeight="1">
      <c r="A260" s="4"/>
      <c r="B260" s="4"/>
    </row>
    <row r="261" ht="15.75" customHeight="1">
      <c r="A261" s="4"/>
      <c r="B261" s="4"/>
    </row>
    <row r="262" ht="15.75" customHeight="1">
      <c r="A262" s="4"/>
      <c r="B262" s="4"/>
    </row>
    <row r="263" ht="15.75" customHeight="1">
      <c r="A263" s="4"/>
      <c r="B263" s="4"/>
    </row>
    <row r="264" ht="15.75" customHeight="1">
      <c r="A264" s="4"/>
      <c r="B264" s="4"/>
    </row>
    <row r="265" ht="15.75" customHeight="1">
      <c r="A265" s="4"/>
      <c r="B265" s="4"/>
    </row>
    <row r="266" ht="15.75" customHeight="1">
      <c r="A266" s="4"/>
      <c r="B266" s="4"/>
    </row>
    <row r="267" ht="15.75" customHeight="1">
      <c r="A267" s="4"/>
      <c r="B267" s="4"/>
    </row>
    <row r="268" ht="15.75" customHeight="1">
      <c r="A268" s="4"/>
      <c r="B268" s="4"/>
    </row>
    <row r="269" ht="15.75" customHeight="1">
      <c r="A269" s="4"/>
      <c r="B269" s="4"/>
    </row>
    <row r="270" ht="15.75" customHeight="1">
      <c r="A270" s="4"/>
      <c r="B270" s="4"/>
    </row>
    <row r="271" ht="15.75" customHeight="1">
      <c r="A271" s="4"/>
      <c r="B271" s="4"/>
    </row>
    <row r="272" ht="15.75" customHeight="1">
      <c r="A272" s="4"/>
      <c r="B272" s="4"/>
    </row>
    <row r="273" ht="15.75" customHeight="1">
      <c r="A273" s="4"/>
      <c r="B273" s="4"/>
    </row>
    <row r="274" ht="15.75" customHeight="1">
      <c r="A274" s="4"/>
      <c r="B274" s="4"/>
    </row>
    <row r="275" ht="15.75" customHeight="1">
      <c r="A275" s="4"/>
      <c r="B275" s="4"/>
    </row>
    <row r="276" ht="15.75" customHeight="1">
      <c r="A276" s="4"/>
      <c r="B276" s="4"/>
    </row>
    <row r="277" ht="15.75" customHeight="1">
      <c r="A277" s="4"/>
      <c r="B277" s="4"/>
    </row>
    <row r="278" ht="15.75" customHeight="1">
      <c r="A278" s="4"/>
      <c r="B278" s="4"/>
    </row>
    <row r="279" ht="15.75" customHeight="1">
      <c r="A279" s="4"/>
      <c r="B279" s="4"/>
    </row>
    <row r="280" ht="15.75" customHeight="1">
      <c r="A280" s="4"/>
      <c r="B280" s="4"/>
    </row>
    <row r="281" ht="15.75" customHeight="1">
      <c r="A281" s="4"/>
      <c r="B281" s="4"/>
    </row>
    <row r="282" ht="15.75" customHeight="1">
      <c r="A282" s="4"/>
      <c r="B282" s="4"/>
    </row>
    <row r="283" ht="15.75" customHeight="1">
      <c r="A283" s="4"/>
      <c r="B283" s="4"/>
    </row>
    <row r="284" ht="15.75" customHeight="1">
      <c r="A284" s="4"/>
      <c r="B284" s="4"/>
    </row>
    <row r="285" ht="15.75" customHeight="1">
      <c r="A285" s="4"/>
      <c r="B285" s="4"/>
    </row>
    <row r="286" ht="15.75" customHeight="1">
      <c r="A286" s="4"/>
      <c r="B286" s="4"/>
    </row>
    <row r="287" ht="15.75" customHeight="1">
      <c r="A287" s="4"/>
      <c r="B287" s="4"/>
    </row>
    <row r="288" ht="15.75" customHeight="1">
      <c r="A288" s="4"/>
      <c r="B288" s="4"/>
    </row>
    <row r="289" ht="15.75" customHeight="1">
      <c r="A289" s="4"/>
      <c r="B289" s="4"/>
    </row>
    <row r="290" ht="15.75" customHeight="1">
      <c r="A290" s="4"/>
      <c r="B290" s="4"/>
    </row>
    <row r="291" ht="15.75" customHeight="1">
      <c r="A291" s="4"/>
      <c r="B291" s="4"/>
    </row>
    <row r="292" ht="15.75" customHeight="1">
      <c r="A292" s="4"/>
      <c r="B292" s="4"/>
    </row>
    <row r="293" ht="15.75" customHeight="1">
      <c r="A293" s="4"/>
      <c r="B293" s="4"/>
    </row>
    <row r="294" ht="15.75" customHeight="1">
      <c r="A294" s="4"/>
      <c r="B294" s="4"/>
    </row>
    <row r="295" ht="15.75" customHeight="1">
      <c r="A295" s="4"/>
      <c r="B295" s="4"/>
    </row>
    <row r="296" ht="15.75" customHeight="1">
      <c r="A296" s="4"/>
      <c r="B296" s="4"/>
    </row>
    <row r="297" ht="15.75" customHeight="1">
      <c r="A297" s="4"/>
      <c r="B297" s="4"/>
    </row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1.75"/>
    <col customWidth="1" min="2" max="2" width="14.0"/>
    <col customWidth="1" min="3" max="3" width="16.5"/>
    <col customWidth="1" min="4" max="4" width="13.38"/>
    <col customWidth="1" min="5" max="6" width="12.63"/>
  </cols>
  <sheetData>
    <row r="1" ht="15.75" customHeight="1">
      <c r="A1" s="2" t="s">
        <v>0</v>
      </c>
      <c r="B1" s="2" t="s">
        <v>1</v>
      </c>
      <c r="C1" s="2" t="s">
        <v>2</v>
      </c>
      <c r="D1" s="1" t="s">
        <v>4</v>
      </c>
      <c r="E1" s="1" t="s">
        <v>5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75" customHeight="1">
      <c r="A2" s="5">
        <v>935.0</v>
      </c>
      <c r="B2" s="5">
        <v>1313.0</v>
      </c>
      <c r="C2" s="5" t="s">
        <v>287</v>
      </c>
      <c r="D2" s="5" t="s">
        <v>242</v>
      </c>
      <c r="E2" s="5" t="s">
        <v>215</v>
      </c>
    </row>
    <row r="3" ht="15.75" customHeight="1">
      <c r="A3" s="5">
        <v>687.0</v>
      </c>
      <c r="B3" s="5">
        <v>1310.0</v>
      </c>
      <c r="C3" s="5" t="s">
        <v>288</v>
      </c>
      <c r="D3" s="5" t="s">
        <v>233</v>
      </c>
      <c r="E3" s="5" t="s">
        <v>234</v>
      </c>
    </row>
    <row r="4" ht="15.75" customHeight="1">
      <c r="A4" s="5">
        <v>860.0</v>
      </c>
      <c r="B4" s="5">
        <v>1280.0</v>
      </c>
      <c r="C4" s="5" t="s">
        <v>289</v>
      </c>
      <c r="D4" s="5" t="s">
        <v>214</v>
      </c>
      <c r="E4" s="5" t="s">
        <v>215</v>
      </c>
    </row>
    <row r="5" ht="15.75" customHeight="1">
      <c r="A5" s="5">
        <v>812.0</v>
      </c>
      <c r="B5" s="5">
        <v>1069.0</v>
      </c>
      <c r="C5" s="5" t="s">
        <v>290</v>
      </c>
      <c r="D5" s="5" t="s">
        <v>242</v>
      </c>
      <c r="E5" s="5" t="s">
        <v>215</v>
      </c>
    </row>
    <row r="6" ht="15.75" customHeight="1">
      <c r="A6" s="5">
        <v>733.0</v>
      </c>
      <c r="B6" s="5">
        <v>1043.0</v>
      </c>
      <c r="C6" s="5" t="s">
        <v>291</v>
      </c>
      <c r="D6" s="5" t="s">
        <v>244</v>
      </c>
      <c r="E6" s="5" t="s">
        <v>215</v>
      </c>
    </row>
    <row r="7" ht="15.75" customHeight="1">
      <c r="A7" s="5">
        <v>544.0</v>
      </c>
      <c r="B7" s="5">
        <v>1012.0</v>
      </c>
      <c r="C7" s="5" t="s">
        <v>292</v>
      </c>
      <c r="D7" s="5" t="s">
        <v>224</v>
      </c>
      <c r="E7" s="5" t="s">
        <v>225</v>
      </c>
    </row>
    <row r="8" ht="15.75" customHeight="1">
      <c r="A8" s="5">
        <v>727.0</v>
      </c>
      <c r="B8" s="5">
        <v>960.0</v>
      </c>
      <c r="C8" s="5" t="s">
        <v>293</v>
      </c>
      <c r="D8" s="5" t="s">
        <v>214</v>
      </c>
      <c r="E8" s="5" t="s">
        <v>215</v>
      </c>
    </row>
    <row r="9" ht="15.75" customHeight="1">
      <c r="A9" s="5">
        <v>706.0</v>
      </c>
      <c r="B9" s="5">
        <v>903.0</v>
      </c>
      <c r="C9" s="5" t="s">
        <v>294</v>
      </c>
      <c r="D9" s="5" t="s">
        <v>214</v>
      </c>
      <c r="E9" s="5" t="s">
        <v>216</v>
      </c>
    </row>
    <row r="10" ht="15.75" customHeight="1">
      <c r="A10" s="5">
        <v>480.0</v>
      </c>
      <c r="B10" s="5">
        <v>735.0</v>
      </c>
      <c r="C10" s="5" t="s">
        <v>295</v>
      </c>
      <c r="D10" s="5" t="s">
        <v>224</v>
      </c>
      <c r="E10" s="5" t="s">
        <v>225</v>
      </c>
    </row>
    <row r="11" ht="15.75" customHeight="1">
      <c r="A11" s="5">
        <v>603.0</v>
      </c>
      <c r="B11" s="5">
        <v>720.0</v>
      </c>
      <c r="C11" s="5" t="s">
        <v>296</v>
      </c>
      <c r="D11" s="5" t="s">
        <v>214</v>
      </c>
      <c r="E11" s="5" t="s">
        <v>217</v>
      </c>
    </row>
    <row r="12" ht="15.75" customHeight="1">
      <c r="A12" s="5">
        <v>571.0</v>
      </c>
      <c r="B12" s="5">
        <v>680.0</v>
      </c>
      <c r="C12" s="5" t="s">
        <v>297</v>
      </c>
      <c r="D12" s="5" t="s">
        <v>238</v>
      </c>
      <c r="E12" s="5" t="s">
        <v>217</v>
      </c>
    </row>
    <row r="13" ht="15.75" customHeight="1">
      <c r="A13" s="5">
        <v>552.0</v>
      </c>
      <c r="B13" s="5">
        <v>647.0</v>
      </c>
      <c r="C13" s="5" t="s">
        <v>298</v>
      </c>
      <c r="D13" s="5" t="s">
        <v>238</v>
      </c>
      <c r="E13" s="5" t="s">
        <v>217</v>
      </c>
    </row>
    <row r="14" ht="15.75" customHeight="1">
      <c r="A14" s="5">
        <v>465.0</v>
      </c>
      <c r="B14" s="5">
        <v>613.0</v>
      </c>
      <c r="C14" s="5" t="s">
        <v>299</v>
      </c>
      <c r="D14" s="5" t="s">
        <v>244</v>
      </c>
      <c r="E14" s="5" t="s">
        <v>215</v>
      </c>
    </row>
    <row r="15" ht="15.75" customHeight="1">
      <c r="A15" s="5">
        <v>421.0</v>
      </c>
      <c r="B15" s="5">
        <v>610.0</v>
      </c>
      <c r="C15" s="5" t="s">
        <v>300</v>
      </c>
      <c r="D15" s="5" t="s">
        <v>246</v>
      </c>
      <c r="E15" s="5" t="s">
        <v>215</v>
      </c>
    </row>
    <row r="16" ht="15.75" customHeight="1">
      <c r="A16" s="5">
        <v>435.0</v>
      </c>
      <c r="B16" s="5">
        <v>589.0</v>
      </c>
      <c r="C16" s="5" t="s">
        <v>301</v>
      </c>
      <c r="D16" s="5" t="s">
        <v>224</v>
      </c>
      <c r="E16" s="5" t="s">
        <v>218</v>
      </c>
    </row>
    <row r="17" ht="15.75" customHeight="1">
      <c r="A17" s="5">
        <v>451.0</v>
      </c>
      <c r="B17" s="5">
        <v>584.0</v>
      </c>
      <c r="C17" s="5" t="s">
        <v>302</v>
      </c>
      <c r="D17" s="5" t="s">
        <v>251</v>
      </c>
      <c r="E17" s="5" t="s">
        <v>215</v>
      </c>
    </row>
    <row r="18" ht="15.75" customHeight="1">
      <c r="A18" s="5">
        <v>372.0</v>
      </c>
      <c r="B18" s="5">
        <v>542.0</v>
      </c>
      <c r="C18" s="5" t="s">
        <v>303</v>
      </c>
      <c r="D18" s="5" t="s">
        <v>224</v>
      </c>
      <c r="E18" s="5" t="s">
        <v>225</v>
      </c>
    </row>
    <row r="19" ht="15.75" customHeight="1">
      <c r="A19" s="5">
        <v>361.0</v>
      </c>
      <c r="B19" s="5">
        <v>477.0</v>
      </c>
      <c r="C19" s="5" t="s">
        <v>304</v>
      </c>
      <c r="D19" s="5" t="s">
        <v>214</v>
      </c>
      <c r="E19" s="5" t="s">
        <v>218</v>
      </c>
    </row>
    <row r="20" ht="15.75" customHeight="1">
      <c r="A20" s="5">
        <v>386.0</v>
      </c>
      <c r="B20" s="5">
        <v>462.0</v>
      </c>
      <c r="C20" s="5" t="s">
        <v>305</v>
      </c>
      <c r="D20" s="5" t="s">
        <v>224</v>
      </c>
      <c r="E20" s="5" t="s">
        <v>216</v>
      </c>
    </row>
    <row r="21" ht="15.75" customHeight="1">
      <c r="A21" s="5">
        <v>373.0</v>
      </c>
      <c r="B21" s="5">
        <v>451.0</v>
      </c>
      <c r="C21" s="5" t="s">
        <v>306</v>
      </c>
      <c r="D21" s="5" t="s">
        <v>214</v>
      </c>
      <c r="E21" s="5" t="s">
        <v>216</v>
      </c>
    </row>
    <row r="22" ht="15.75" customHeight="1">
      <c r="A22" s="5">
        <v>276.0</v>
      </c>
      <c r="B22" s="5">
        <v>435.0</v>
      </c>
      <c r="C22" s="5" t="s">
        <v>307</v>
      </c>
      <c r="D22" s="5" t="s">
        <v>233</v>
      </c>
      <c r="E22" s="5" t="s">
        <v>234</v>
      </c>
    </row>
    <row r="23" ht="15.75" customHeight="1">
      <c r="A23" s="5">
        <v>319.0</v>
      </c>
      <c r="B23" s="5">
        <v>434.0</v>
      </c>
      <c r="C23" s="5" t="s">
        <v>308</v>
      </c>
      <c r="D23" s="5" t="s">
        <v>253</v>
      </c>
      <c r="E23" s="5" t="s">
        <v>215</v>
      </c>
    </row>
    <row r="24" ht="15.75" customHeight="1">
      <c r="A24" s="5">
        <v>346.0</v>
      </c>
      <c r="B24" s="5">
        <v>411.0</v>
      </c>
      <c r="C24" s="5" t="s">
        <v>309</v>
      </c>
      <c r="D24" s="5" t="s">
        <v>224</v>
      </c>
      <c r="E24" s="5" t="s">
        <v>216</v>
      </c>
    </row>
    <row r="25" ht="15.75" customHeight="1">
      <c r="A25" s="5">
        <v>326.0</v>
      </c>
      <c r="B25" s="5">
        <v>400.0</v>
      </c>
      <c r="C25" s="5" t="s">
        <v>310</v>
      </c>
      <c r="D25" s="5" t="s">
        <v>224</v>
      </c>
      <c r="E25" s="5" t="s">
        <v>218</v>
      </c>
    </row>
    <row r="26" ht="15.75" customHeight="1">
      <c r="A26" s="5">
        <v>343.0</v>
      </c>
      <c r="B26" s="5">
        <v>394.0</v>
      </c>
      <c r="C26" s="5" t="s">
        <v>311</v>
      </c>
      <c r="D26" s="5" t="s">
        <v>214</v>
      </c>
      <c r="E26" s="5" t="s">
        <v>217</v>
      </c>
    </row>
    <row r="27" ht="15.75" customHeight="1">
      <c r="A27" s="5">
        <v>300.0</v>
      </c>
      <c r="B27" s="5">
        <v>394.0</v>
      </c>
      <c r="C27" s="5" t="s">
        <v>312</v>
      </c>
      <c r="D27" s="5" t="s">
        <v>246</v>
      </c>
      <c r="E27" s="5" t="s">
        <v>215</v>
      </c>
    </row>
    <row r="28" ht="15.75" customHeight="1">
      <c r="A28" s="5">
        <v>334.0</v>
      </c>
      <c r="B28" s="5">
        <v>386.0</v>
      </c>
      <c r="C28" s="5" t="s">
        <v>313</v>
      </c>
      <c r="D28" s="5" t="s">
        <v>251</v>
      </c>
      <c r="E28" s="5" t="s">
        <v>215</v>
      </c>
    </row>
    <row r="29" ht="15.75" customHeight="1">
      <c r="A29" s="5">
        <v>304.0</v>
      </c>
      <c r="B29" s="5">
        <v>381.0</v>
      </c>
      <c r="C29" s="5" t="s">
        <v>314</v>
      </c>
      <c r="D29" s="5" t="s">
        <v>249</v>
      </c>
      <c r="E29" s="5" t="s">
        <v>217</v>
      </c>
    </row>
    <row r="30" ht="15.75" customHeight="1">
      <c r="A30" s="5">
        <v>311.0</v>
      </c>
      <c r="B30" s="5">
        <v>361.0</v>
      </c>
      <c r="C30" s="5" t="s">
        <v>315</v>
      </c>
      <c r="D30" s="5" t="s">
        <v>238</v>
      </c>
      <c r="E30" s="5" t="s">
        <v>221</v>
      </c>
    </row>
    <row r="31" ht="15.75" customHeight="1">
      <c r="A31" s="5">
        <v>319.0</v>
      </c>
      <c r="B31" s="5">
        <v>357.0</v>
      </c>
      <c r="C31" s="5" t="s">
        <v>316</v>
      </c>
      <c r="D31" s="5" t="s">
        <v>238</v>
      </c>
      <c r="E31" s="5" t="s">
        <v>217</v>
      </c>
    </row>
    <row r="32" ht="15.75" customHeight="1">
      <c r="A32" s="5">
        <v>297.0</v>
      </c>
      <c r="B32" s="5">
        <v>350.0</v>
      </c>
      <c r="C32" s="5" t="s">
        <v>317</v>
      </c>
      <c r="D32" s="5" t="s">
        <v>238</v>
      </c>
      <c r="E32" s="5" t="s">
        <v>239</v>
      </c>
    </row>
    <row r="33" ht="15.75" customHeight="1">
      <c r="A33" s="5">
        <v>266.0</v>
      </c>
      <c r="B33" s="5">
        <v>335.0</v>
      </c>
      <c r="C33" s="5" t="s">
        <v>318</v>
      </c>
      <c r="D33" s="5" t="s">
        <v>249</v>
      </c>
      <c r="E33" s="5" t="s">
        <v>215</v>
      </c>
    </row>
    <row r="34" ht="15.75" customHeight="1">
      <c r="A34" s="5">
        <v>267.0</v>
      </c>
      <c r="B34" s="5">
        <v>332.0</v>
      </c>
      <c r="C34" s="5" t="s">
        <v>319</v>
      </c>
      <c r="D34" s="5" t="s">
        <v>214</v>
      </c>
      <c r="E34" s="5" t="s">
        <v>221</v>
      </c>
    </row>
    <row r="35" ht="15.75" customHeight="1">
      <c r="A35" s="5">
        <v>265.0</v>
      </c>
      <c r="B35" s="5">
        <v>323.0</v>
      </c>
      <c r="C35" s="5" t="s">
        <v>320</v>
      </c>
      <c r="D35" s="5" t="s">
        <v>253</v>
      </c>
      <c r="E35" s="5" t="s">
        <v>215</v>
      </c>
    </row>
    <row r="36" ht="15.75" customHeight="1">
      <c r="A36" s="5">
        <v>151.0</v>
      </c>
      <c r="B36" s="5">
        <v>322.0</v>
      </c>
      <c r="C36" s="5" t="s">
        <v>321</v>
      </c>
      <c r="D36" s="5" t="s">
        <v>214</v>
      </c>
      <c r="E36" s="5" t="s">
        <v>220</v>
      </c>
    </row>
    <row r="37" ht="15.75" customHeight="1">
      <c r="A37" s="5">
        <v>249.0</v>
      </c>
      <c r="B37" s="5">
        <v>313.0</v>
      </c>
      <c r="C37" s="5" t="s">
        <v>322</v>
      </c>
      <c r="D37" s="5" t="s">
        <v>259</v>
      </c>
      <c r="E37" s="5" t="s">
        <v>217</v>
      </c>
    </row>
    <row r="38" ht="15.75" customHeight="1">
      <c r="A38" s="5">
        <v>257.0</v>
      </c>
      <c r="B38" s="5">
        <v>300.0</v>
      </c>
      <c r="C38" s="5" t="s">
        <v>323</v>
      </c>
      <c r="D38" s="5" t="s">
        <v>214</v>
      </c>
      <c r="E38" s="5" t="s">
        <v>218</v>
      </c>
    </row>
    <row r="39" ht="15.75" customHeight="1">
      <c r="A39" s="5">
        <v>219.0</v>
      </c>
      <c r="B39" s="5">
        <v>298.0</v>
      </c>
      <c r="C39" s="5" t="s">
        <v>324</v>
      </c>
      <c r="D39" s="5" t="s">
        <v>256</v>
      </c>
      <c r="E39" s="5" t="s">
        <v>215</v>
      </c>
    </row>
    <row r="40" ht="15.75" customHeight="1">
      <c r="A40" s="5">
        <v>256.0</v>
      </c>
      <c r="B40" s="5">
        <v>294.0</v>
      </c>
      <c r="C40" s="5" t="s">
        <v>325</v>
      </c>
      <c r="D40" s="5" t="s">
        <v>246</v>
      </c>
      <c r="E40" s="5" t="s">
        <v>217</v>
      </c>
    </row>
    <row r="41" ht="15.75" customHeight="1">
      <c r="A41" s="5">
        <v>231.0</v>
      </c>
      <c r="B41" s="5">
        <v>283.0</v>
      </c>
      <c r="C41" s="5" t="s">
        <v>326</v>
      </c>
      <c r="D41" s="5" t="s">
        <v>263</v>
      </c>
      <c r="E41" s="5" t="s">
        <v>228</v>
      </c>
    </row>
    <row r="42" ht="15.75" customHeight="1">
      <c r="A42" s="5">
        <v>224.0</v>
      </c>
      <c r="B42" s="5">
        <v>275.0</v>
      </c>
      <c r="C42" s="5" t="s">
        <v>327</v>
      </c>
      <c r="D42" s="5" t="s">
        <v>233</v>
      </c>
      <c r="E42" s="5" t="s">
        <v>234</v>
      </c>
    </row>
    <row r="43" ht="15.75" customHeight="1">
      <c r="A43" s="5">
        <v>236.0</v>
      </c>
      <c r="B43" s="5">
        <v>273.0</v>
      </c>
      <c r="C43" s="5" t="s">
        <v>328</v>
      </c>
      <c r="D43" s="5" t="s">
        <v>214</v>
      </c>
      <c r="E43" s="5" t="s">
        <v>219</v>
      </c>
    </row>
    <row r="44" ht="15.75" customHeight="1">
      <c r="A44" s="5">
        <v>231.0</v>
      </c>
      <c r="B44" s="5">
        <v>272.0</v>
      </c>
      <c r="C44" s="5" t="s">
        <v>329</v>
      </c>
      <c r="D44" s="5" t="s">
        <v>261</v>
      </c>
      <c r="E44" s="5" t="s">
        <v>215</v>
      </c>
    </row>
    <row r="45" ht="15.75" customHeight="1">
      <c r="A45" s="5">
        <v>239.0</v>
      </c>
      <c r="B45" s="5">
        <v>272.0</v>
      </c>
      <c r="C45" s="5" t="s">
        <v>330</v>
      </c>
      <c r="D45" s="5" t="s">
        <v>233</v>
      </c>
      <c r="E45" s="5" t="s">
        <v>229</v>
      </c>
    </row>
    <row r="46" ht="15.75" customHeight="1">
      <c r="A46" s="5">
        <v>213.0</v>
      </c>
      <c r="B46" s="5">
        <v>271.0</v>
      </c>
      <c r="C46" s="5" t="s">
        <v>331</v>
      </c>
      <c r="D46" s="5" t="s">
        <v>224</v>
      </c>
      <c r="E46" s="5" t="s">
        <v>228</v>
      </c>
    </row>
    <row r="47" ht="15.75" customHeight="1">
      <c r="A47" s="5">
        <v>226.0</v>
      </c>
      <c r="B47" s="5">
        <v>266.0</v>
      </c>
      <c r="C47" s="5" t="s">
        <v>332</v>
      </c>
      <c r="D47" s="5" t="s">
        <v>214</v>
      </c>
      <c r="E47" s="5" t="s">
        <v>217</v>
      </c>
    </row>
    <row r="48" ht="15.75" customHeight="1">
      <c r="A48" s="5">
        <v>216.0</v>
      </c>
      <c r="B48" s="5">
        <v>263.0</v>
      </c>
      <c r="C48" s="5" t="s">
        <v>333</v>
      </c>
      <c r="D48" s="5" t="s">
        <v>238</v>
      </c>
      <c r="E48" s="5" t="s">
        <v>240</v>
      </c>
    </row>
    <row r="49" ht="15.75" customHeight="1">
      <c r="A49" s="5">
        <v>221.0</v>
      </c>
      <c r="B49" s="5">
        <v>262.0</v>
      </c>
      <c r="C49" s="5" t="s">
        <v>334</v>
      </c>
      <c r="D49" s="5" t="s">
        <v>256</v>
      </c>
      <c r="E49" s="5" t="s">
        <v>215</v>
      </c>
    </row>
    <row r="50" ht="15.75" customHeight="1">
      <c r="A50" s="5">
        <v>204.0</v>
      </c>
      <c r="B50" s="5">
        <v>262.0</v>
      </c>
      <c r="C50" s="5" t="s">
        <v>335</v>
      </c>
      <c r="D50" s="5" t="s">
        <v>224</v>
      </c>
      <c r="E50" s="5" t="s">
        <v>229</v>
      </c>
    </row>
    <row r="51" ht="15.75" customHeight="1">
      <c r="A51" s="5">
        <v>233.0</v>
      </c>
      <c r="B51" s="5">
        <v>261.0</v>
      </c>
      <c r="C51" s="5" t="s">
        <v>336</v>
      </c>
      <c r="D51" s="5" t="s">
        <v>214</v>
      </c>
      <c r="E51" s="5" t="s">
        <v>216</v>
      </c>
    </row>
    <row r="52" ht="15.75" customHeight="1">
      <c r="A52" s="5">
        <v>234.0</v>
      </c>
      <c r="B52" s="5">
        <v>259.0</v>
      </c>
      <c r="C52" s="5" t="s">
        <v>337</v>
      </c>
      <c r="D52" s="5" t="s">
        <v>265</v>
      </c>
      <c r="E52" s="5" t="s">
        <v>217</v>
      </c>
    </row>
    <row r="53" ht="15.75" customHeight="1">
      <c r="A53" s="5">
        <v>215.0</v>
      </c>
      <c r="B53" s="5">
        <v>253.0</v>
      </c>
      <c r="C53" s="5" t="s">
        <v>338</v>
      </c>
      <c r="D53" s="5" t="s">
        <v>244</v>
      </c>
      <c r="E53" s="5" t="s">
        <v>215</v>
      </c>
    </row>
    <row r="54" ht="15.75" customHeight="1">
      <c r="A54" s="5">
        <v>222.0</v>
      </c>
      <c r="B54" s="5">
        <v>253.0</v>
      </c>
      <c r="C54" s="5" t="s">
        <v>339</v>
      </c>
      <c r="D54" s="5" t="s">
        <v>214</v>
      </c>
      <c r="E54" s="5" t="s">
        <v>215</v>
      </c>
    </row>
    <row r="55" ht="15.75" customHeight="1">
      <c r="A55" s="5">
        <v>209.0</v>
      </c>
      <c r="B55" s="5">
        <v>253.0</v>
      </c>
      <c r="C55" s="5" t="s">
        <v>340</v>
      </c>
      <c r="D55" s="5" t="s">
        <v>214</v>
      </c>
      <c r="E55" s="5" t="s">
        <v>222</v>
      </c>
    </row>
    <row r="56" ht="15.75" customHeight="1">
      <c r="A56" s="5">
        <v>207.0</v>
      </c>
      <c r="B56" s="5">
        <v>235.0</v>
      </c>
      <c r="C56" s="5" t="s">
        <v>341</v>
      </c>
      <c r="D56" s="5" t="s">
        <v>233</v>
      </c>
      <c r="E56" s="5" t="s">
        <v>229</v>
      </c>
    </row>
    <row r="57" ht="15.75" customHeight="1">
      <c r="A57" s="5">
        <v>209.0</v>
      </c>
      <c r="B57" s="5">
        <v>234.0</v>
      </c>
      <c r="C57" s="5" t="s">
        <v>342</v>
      </c>
      <c r="D57" s="5" t="s">
        <v>249</v>
      </c>
      <c r="E57" s="5" t="s">
        <v>215</v>
      </c>
    </row>
    <row r="58" ht="15.75" customHeight="1">
      <c r="A58" s="5">
        <v>166.0</v>
      </c>
      <c r="B58" s="5">
        <v>231.0</v>
      </c>
      <c r="C58" s="5" t="s">
        <v>343</v>
      </c>
      <c r="D58" s="5" t="s">
        <v>233</v>
      </c>
      <c r="E58" s="5" t="s">
        <v>236</v>
      </c>
    </row>
    <row r="59" ht="15.75" customHeight="1">
      <c r="A59" s="5">
        <v>205.0</v>
      </c>
      <c r="B59" s="5">
        <v>230.0</v>
      </c>
      <c r="C59" s="5" t="s">
        <v>344</v>
      </c>
      <c r="D59" s="5" t="s">
        <v>233</v>
      </c>
      <c r="E59" s="5" t="s">
        <v>215</v>
      </c>
    </row>
    <row r="60" ht="15.75" customHeight="1">
      <c r="A60" s="5">
        <v>39.0</v>
      </c>
      <c r="B60" s="5">
        <v>221.0</v>
      </c>
      <c r="C60" s="5" t="s">
        <v>345</v>
      </c>
      <c r="D60" s="5" t="s">
        <v>224</v>
      </c>
      <c r="E60" s="5" t="s">
        <v>227</v>
      </c>
    </row>
    <row r="61" ht="15.75" customHeight="1">
      <c r="A61" s="5">
        <v>188.0</v>
      </c>
      <c r="B61" s="5">
        <v>220.0</v>
      </c>
      <c r="C61" s="5" t="s">
        <v>346</v>
      </c>
      <c r="D61" s="5" t="s">
        <v>238</v>
      </c>
      <c r="E61" s="5" t="s">
        <v>239</v>
      </c>
    </row>
    <row r="62" ht="15.75" customHeight="1">
      <c r="A62" s="5">
        <v>179.0</v>
      </c>
      <c r="B62" s="5">
        <v>218.0</v>
      </c>
      <c r="C62" s="5" t="s">
        <v>347</v>
      </c>
      <c r="D62" s="5" t="s">
        <v>238</v>
      </c>
      <c r="E62" s="5" t="s">
        <v>222</v>
      </c>
    </row>
    <row r="63" ht="15.75" customHeight="1">
      <c r="A63" s="5">
        <v>173.0</v>
      </c>
      <c r="B63" s="5">
        <v>209.0</v>
      </c>
      <c r="C63" s="5" t="s">
        <v>348</v>
      </c>
      <c r="D63" s="5" t="s">
        <v>214</v>
      </c>
      <c r="E63" s="5" t="s">
        <v>219</v>
      </c>
    </row>
    <row r="64" ht="15.75" customHeight="1">
      <c r="A64" s="5">
        <v>187.0</v>
      </c>
      <c r="B64" s="5">
        <v>209.0</v>
      </c>
      <c r="C64" s="5" t="s">
        <v>349</v>
      </c>
      <c r="D64" s="5" t="s">
        <v>224</v>
      </c>
      <c r="E64" s="5" t="s">
        <v>226</v>
      </c>
    </row>
    <row r="65" ht="15.75" customHeight="1">
      <c r="A65" s="5">
        <v>178.0</v>
      </c>
      <c r="B65" s="5">
        <v>198.0</v>
      </c>
      <c r="C65" s="5" t="s">
        <v>350</v>
      </c>
      <c r="D65" s="5" t="s">
        <v>224</v>
      </c>
      <c r="E65" s="5" t="s">
        <v>230</v>
      </c>
    </row>
    <row r="66" ht="15.75" customHeight="1">
      <c r="A66" s="5">
        <v>176.0</v>
      </c>
      <c r="B66" s="5">
        <v>198.0</v>
      </c>
      <c r="C66" s="5" t="s">
        <v>351</v>
      </c>
      <c r="D66" s="5" t="s">
        <v>224</v>
      </c>
      <c r="E66" s="5" t="s">
        <v>226</v>
      </c>
    </row>
    <row r="67" ht="15.75" customHeight="1">
      <c r="A67" s="5">
        <v>167.0</v>
      </c>
      <c r="B67" s="5">
        <v>193.0</v>
      </c>
      <c r="C67" s="5" t="s">
        <v>352</v>
      </c>
      <c r="D67" s="5" t="s">
        <v>242</v>
      </c>
      <c r="E67" s="5" t="s">
        <v>215</v>
      </c>
    </row>
    <row r="68" ht="15.75" customHeight="1">
      <c r="A68" s="5">
        <v>180.0</v>
      </c>
      <c r="B68" s="5">
        <v>193.0</v>
      </c>
      <c r="C68" s="5" t="s">
        <v>353</v>
      </c>
      <c r="D68" s="5" t="s">
        <v>261</v>
      </c>
      <c r="E68" s="5" t="s">
        <v>215</v>
      </c>
    </row>
    <row r="69" ht="15.75" customHeight="1">
      <c r="A69" s="5">
        <v>167.0</v>
      </c>
      <c r="B69" s="5">
        <v>190.0</v>
      </c>
      <c r="C69" s="5" t="s">
        <v>354</v>
      </c>
      <c r="D69" s="5" t="s">
        <v>233</v>
      </c>
      <c r="E69" s="5" t="s">
        <v>235</v>
      </c>
    </row>
    <row r="70" ht="15.75" customHeight="1">
      <c r="A70" s="5">
        <v>158.0</v>
      </c>
      <c r="B70" s="5">
        <v>187.0</v>
      </c>
      <c r="C70" s="5" t="s">
        <v>355</v>
      </c>
      <c r="D70" s="5" t="s">
        <v>267</v>
      </c>
      <c r="E70" s="5" t="s">
        <v>229</v>
      </c>
    </row>
    <row r="71" ht="15.75" customHeight="1">
      <c r="A71" s="5">
        <v>156.0</v>
      </c>
      <c r="B71" s="5">
        <v>186.0</v>
      </c>
      <c r="C71" s="5" t="s">
        <v>356</v>
      </c>
      <c r="D71" s="5" t="s">
        <v>238</v>
      </c>
      <c r="E71" s="5" t="s">
        <v>222</v>
      </c>
    </row>
    <row r="72" ht="15.75" customHeight="1">
      <c r="A72" s="5">
        <v>162.0</v>
      </c>
      <c r="B72" s="5">
        <v>184.0</v>
      </c>
      <c r="C72" s="5" t="s">
        <v>357</v>
      </c>
      <c r="D72" s="5" t="s">
        <v>214</v>
      </c>
      <c r="E72" s="5" t="s">
        <v>215</v>
      </c>
    </row>
    <row r="73" ht="15.75" customHeight="1">
      <c r="A73" s="5">
        <v>163.0</v>
      </c>
      <c r="B73" s="5">
        <v>183.0</v>
      </c>
      <c r="C73" s="5" t="s">
        <v>358</v>
      </c>
      <c r="D73" s="5" t="s">
        <v>259</v>
      </c>
      <c r="E73" s="5" t="s">
        <v>217</v>
      </c>
    </row>
    <row r="74" ht="15.75" customHeight="1">
      <c r="A74" s="5">
        <v>74.0</v>
      </c>
      <c r="B74" s="5">
        <v>182.0</v>
      </c>
      <c r="C74" s="5" t="s">
        <v>359</v>
      </c>
      <c r="D74" s="5" t="s">
        <v>224</v>
      </c>
      <c r="E74" s="5" t="s">
        <v>227</v>
      </c>
    </row>
    <row r="75" ht="15.75" customHeight="1">
      <c r="A75" s="5">
        <v>158.0</v>
      </c>
      <c r="B75" s="5">
        <v>181.0</v>
      </c>
      <c r="C75" s="5" t="s">
        <v>360</v>
      </c>
      <c r="D75" s="5" t="s">
        <v>238</v>
      </c>
      <c r="E75" s="5" t="s">
        <v>239</v>
      </c>
    </row>
    <row r="76" ht="15.75" customHeight="1">
      <c r="A76" s="5">
        <v>159.0</v>
      </c>
      <c r="B76" s="5">
        <v>177.0</v>
      </c>
      <c r="C76" s="5" t="s">
        <v>361</v>
      </c>
      <c r="D76" s="5" t="s">
        <v>238</v>
      </c>
      <c r="E76" s="5" t="s">
        <v>221</v>
      </c>
    </row>
    <row r="77" ht="15.75" customHeight="1">
      <c r="A77" s="5">
        <v>123.0</v>
      </c>
      <c r="B77" s="5">
        <v>177.0</v>
      </c>
      <c r="C77" s="5" t="s">
        <v>362</v>
      </c>
      <c r="D77" s="5" t="s">
        <v>224</v>
      </c>
      <c r="E77" s="5" t="s">
        <v>225</v>
      </c>
    </row>
    <row r="78" ht="15.75" customHeight="1">
      <c r="A78" s="5">
        <v>149.0</v>
      </c>
      <c r="B78" s="5">
        <v>176.0</v>
      </c>
      <c r="C78" s="5" t="s">
        <v>363</v>
      </c>
      <c r="D78" s="5" t="s">
        <v>246</v>
      </c>
      <c r="E78" s="5" t="s">
        <v>247</v>
      </c>
    </row>
    <row r="79" ht="15.75" customHeight="1">
      <c r="A79" s="5">
        <v>152.0</v>
      </c>
      <c r="B79" s="5">
        <v>174.0</v>
      </c>
      <c r="C79" s="5" t="s">
        <v>364</v>
      </c>
      <c r="D79" s="5" t="s">
        <v>246</v>
      </c>
      <c r="E79" s="5" t="s">
        <v>247</v>
      </c>
    </row>
    <row r="80" ht="15.75" customHeight="1">
      <c r="A80" s="5">
        <v>141.0</v>
      </c>
      <c r="B80" s="5">
        <v>173.0</v>
      </c>
      <c r="C80" s="5" t="s">
        <v>365</v>
      </c>
      <c r="D80" s="5" t="s">
        <v>259</v>
      </c>
      <c r="E80" s="5" t="s">
        <v>221</v>
      </c>
    </row>
    <row r="81" ht="15.75" customHeight="1">
      <c r="A81" s="5">
        <v>150.0</v>
      </c>
      <c r="B81" s="5">
        <v>173.0</v>
      </c>
      <c r="C81" s="5" t="s">
        <v>366</v>
      </c>
      <c r="D81" s="5" t="s">
        <v>249</v>
      </c>
      <c r="E81" s="5" t="s">
        <v>217</v>
      </c>
    </row>
    <row r="82" ht="15.75" customHeight="1">
      <c r="A82" s="5">
        <v>150.0</v>
      </c>
      <c r="B82" s="5">
        <v>166.0</v>
      </c>
      <c r="C82" s="5" t="s">
        <v>367</v>
      </c>
      <c r="D82" s="5" t="s">
        <v>233</v>
      </c>
      <c r="E82" s="5" t="s">
        <v>215</v>
      </c>
    </row>
    <row r="83" ht="15.75" customHeight="1">
      <c r="A83" s="5">
        <v>70.0</v>
      </c>
      <c r="B83" s="5">
        <v>166.0</v>
      </c>
      <c r="C83" s="5" t="s">
        <v>368</v>
      </c>
      <c r="D83" s="5" t="s">
        <v>224</v>
      </c>
      <c r="E83" s="5" t="s">
        <v>220</v>
      </c>
    </row>
    <row r="84" ht="15.75" customHeight="1">
      <c r="A84" s="5">
        <v>150.0</v>
      </c>
      <c r="B84" s="5">
        <v>166.0</v>
      </c>
      <c r="C84" s="5" t="s">
        <v>369</v>
      </c>
      <c r="D84" s="5" t="s">
        <v>256</v>
      </c>
      <c r="E84" s="5" t="s">
        <v>257</v>
      </c>
    </row>
    <row r="85" ht="15.75" customHeight="1">
      <c r="A85" s="5">
        <v>38.0</v>
      </c>
      <c r="B85" s="5">
        <v>160.0</v>
      </c>
      <c r="C85" s="5" t="s">
        <v>370</v>
      </c>
      <c r="D85" s="5" t="s">
        <v>233</v>
      </c>
      <c r="E85" s="5" t="s">
        <v>234</v>
      </c>
    </row>
    <row r="86" ht="15.75" customHeight="1">
      <c r="A86" s="5">
        <v>124.0</v>
      </c>
      <c r="B86" s="5">
        <v>158.0</v>
      </c>
      <c r="C86" s="5" t="s">
        <v>371</v>
      </c>
      <c r="D86" s="5" t="s">
        <v>233</v>
      </c>
      <c r="E86" s="5" t="s">
        <v>235</v>
      </c>
    </row>
    <row r="87" ht="15.75" customHeight="1">
      <c r="A87" s="5">
        <v>109.0</v>
      </c>
      <c r="B87" s="5">
        <v>158.0</v>
      </c>
      <c r="C87" s="5" t="s">
        <v>372</v>
      </c>
      <c r="D87" s="5" t="s">
        <v>253</v>
      </c>
      <c r="E87" s="5" t="s">
        <v>254</v>
      </c>
    </row>
    <row r="88" ht="15.75" customHeight="1">
      <c r="A88" s="5">
        <v>142.0</v>
      </c>
      <c r="B88" s="5">
        <v>157.0</v>
      </c>
      <c r="C88" s="5" t="s">
        <v>373</v>
      </c>
      <c r="D88" s="5" t="s">
        <v>244</v>
      </c>
      <c r="E88" s="5" t="s">
        <v>215</v>
      </c>
    </row>
    <row r="89" ht="15.75" customHeight="1">
      <c r="A89" s="5">
        <v>135.0</v>
      </c>
      <c r="B89" s="5">
        <v>156.0</v>
      </c>
      <c r="C89" s="5" t="s">
        <v>374</v>
      </c>
      <c r="D89" s="5" t="s">
        <v>269</v>
      </c>
      <c r="E89" s="5" t="s">
        <v>229</v>
      </c>
    </row>
    <row r="90" ht="15.75" customHeight="1">
      <c r="A90" s="5">
        <v>136.0</v>
      </c>
      <c r="B90" s="5">
        <v>154.0</v>
      </c>
      <c r="C90" s="5" t="s">
        <v>375</v>
      </c>
      <c r="D90" s="5" t="s">
        <v>224</v>
      </c>
      <c r="E90" s="5" t="s">
        <v>216</v>
      </c>
    </row>
    <row r="91" ht="15.75" customHeight="1">
      <c r="A91" s="5">
        <v>142.0</v>
      </c>
      <c r="B91" s="5">
        <v>153.0</v>
      </c>
      <c r="C91" s="5" t="s">
        <v>376</v>
      </c>
      <c r="D91" s="5" t="s">
        <v>256</v>
      </c>
      <c r="E91" s="5" t="s">
        <v>257</v>
      </c>
    </row>
    <row r="92" ht="15.75" customHeight="1">
      <c r="A92" s="5">
        <v>101.0</v>
      </c>
      <c r="B92" s="5">
        <v>151.0</v>
      </c>
      <c r="C92" s="5" t="s">
        <v>377</v>
      </c>
      <c r="D92" s="5" t="s">
        <v>214</v>
      </c>
      <c r="E92" s="5" t="s">
        <v>220</v>
      </c>
    </row>
    <row r="93" ht="15.75" customHeight="1">
      <c r="A93" s="5">
        <v>123.0</v>
      </c>
      <c r="B93" s="5">
        <v>148.0</v>
      </c>
      <c r="C93" s="5" t="s">
        <v>378</v>
      </c>
      <c r="D93" s="5" t="s">
        <v>224</v>
      </c>
      <c r="E93" s="5" t="s">
        <v>221</v>
      </c>
    </row>
    <row r="94" ht="15.75" customHeight="1">
      <c r="A94" s="5">
        <v>139.0</v>
      </c>
      <c r="B94" s="5">
        <v>148.0</v>
      </c>
      <c r="C94" s="5" t="s">
        <v>379</v>
      </c>
      <c r="D94" s="5" t="s">
        <v>251</v>
      </c>
      <c r="E94" s="5" t="s">
        <v>215</v>
      </c>
    </row>
    <row r="95" ht="15.75" customHeight="1">
      <c r="A95" s="5">
        <v>127.0</v>
      </c>
      <c r="B95" s="5">
        <v>148.0</v>
      </c>
      <c r="C95" s="5" t="s">
        <v>380</v>
      </c>
      <c r="D95" s="5" t="s">
        <v>246</v>
      </c>
      <c r="E95" s="5" t="s">
        <v>215</v>
      </c>
    </row>
    <row r="96" ht="15.75" customHeight="1">
      <c r="A96" s="5">
        <v>127.0</v>
      </c>
      <c r="B96" s="5">
        <v>145.0</v>
      </c>
      <c r="C96" s="5" t="s">
        <v>381</v>
      </c>
      <c r="D96" s="5" t="s">
        <v>224</v>
      </c>
      <c r="E96" s="5" t="s">
        <v>231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